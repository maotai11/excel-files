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" sheetId="4" state="visible" r:id="rId4"/>
    <sheet xmlns:r="http://schemas.openxmlformats.org/officeDocument/2006/relationships" name="5月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" sheetId="8" state="visible" r:id="rId8"/>
    <sheet xmlns:r="http://schemas.openxmlformats.org/officeDocument/2006/relationships" name="9月" sheetId="9" state="visible" r:id="rId9"/>
    <sheet xmlns:r="http://schemas.openxmlformats.org/officeDocument/2006/relationships" name="10月" sheetId="10" state="visible" r:id="rId10"/>
    <sheet xmlns:r="http://schemas.openxmlformats.org/officeDocument/2006/relationships" name="11月" sheetId="11" state="visible" r:id="rId11"/>
    <sheet xmlns:r="http://schemas.openxmlformats.org/officeDocument/2006/relationships" name="12月" sheetId="12" state="visible" r:id="rId12"/>
  </sheets>
  <definedNames/>
</workbook>
</file>

<file path=xl/styles.xml><?xml version="1.0" encoding="utf-8"?>
<styleSheet xmlns="http://schemas.openxmlformats.org/spreadsheetml/2006/main">
  <numFmts count="1">
    <numFmt numFmtId="164" formatCode="hh:mm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0000FF"/>
    </font>
    <font>
      <i val="1"/>
      <color rgb="0040404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right" vertical="center"/>
    </xf>
    <xf numFmtId="1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1月｜全勤獎金按實際上班時數比例計算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2月｜全勤獎金按實際上班時數比例計算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3月｜全勤獎金按實際上班時數比例計算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4月｜全勤獎金按實際上班時數比例計算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5月｜全勤獎金按實際上班時數比例計算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6月｜全勤獎金按實際上班時數比例計算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7月｜全勤獎金按實際上班時數比例計算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8月｜全勤獎金按實際上班時數比例計算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9月｜全勤獎金按實際上班時數比例計算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10月｜全勤獎金按實際上班時數比例計算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11月｜全勤獎金按實際上班時數比例計算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6" customWidth="1" min="5" max="5"/>
    <col width="22" customWidth="1" min="6" max="6"/>
  </cols>
  <sheetData>
    <row r="1" ht="26" customHeight="1">
      <c r="A1" s="1" t="inlineStr">
        <is>
          <t>12月｜全勤獎金按實際上班時數比例計算</t>
        </is>
      </c>
    </row>
    <row r="2" ht="34" customHeight="1">
      <c r="A2" s="2" t="inlineStr">
        <is>
          <t>說明：打卡時間輸入在「上班打卡」欄。每日先算原始遲到分鐘=MAX(0,打卡-基準)。本月「累計原始遲到」先扣除免計分鐘(預設30分鐘)，超過部分才計入扣全勤；31分→算1分。</t>
        </is>
      </c>
    </row>
    <row r="3">
      <c r="A3" s="3" t="inlineStr">
        <is>
          <t>全勤獎金(元)</t>
        </is>
      </c>
      <c r="B3" s="4" t="n">
        <v>1000</v>
      </c>
      <c r="D3" s="3" t="inlineStr">
        <is>
          <t>本月全勤扣除(元)</t>
        </is>
      </c>
      <c r="E3" s="5">
        <f>ROUND($B$3-$B$10,2)</f>
        <v/>
      </c>
    </row>
    <row r="4">
      <c r="A4" s="3" t="inlineStr">
        <is>
          <t>應上班時數(小時)</t>
        </is>
      </c>
      <c r="B4" s="6" t="n">
        <v>184</v>
      </c>
    </row>
    <row r="5">
      <c r="A5" s="3" t="inlineStr">
        <is>
          <t>上班時間(基準)</t>
        </is>
      </c>
      <c r="B5" s="7" t="n">
        <v>0.3541666666666667</v>
      </c>
    </row>
    <row r="6">
      <c r="A6" s="3" t="inlineStr">
        <is>
          <t>遲到免計(分鐘)</t>
        </is>
      </c>
      <c r="B6" s="8" t="n">
        <v>30</v>
      </c>
    </row>
    <row r="7">
      <c r="A7" s="3" t="inlineStr">
        <is>
          <t>合計計入遲到(分鐘)（月累計扣除免計）</t>
        </is>
      </c>
      <c r="B7" s="9">
        <f>MAX(0,SUM($D$12:$D$42)-$B$6)</f>
        <v/>
      </c>
      <c r="D7" t="inlineStr">
        <is>
          <t>累計原始遲到(分鐘)</t>
        </is>
      </c>
      <c r="E7">
        <f>SUM($C$12:$C$42)</f>
        <v/>
      </c>
    </row>
    <row r="8">
      <c r="A8" s="3" t="inlineStr">
        <is>
          <t>合計計入遲到(小時)</t>
        </is>
      </c>
      <c r="B8" s="10">
        <f>$B$7/60</f>
        <v/>
      </c>
      <c r="D8" t="inlineStr">
        <is>
          <t>免計分鐘(本月一次性)</t>
        </is>
      </c>
      <c r="E8">
        <f>$B$6</f>
        <v/>
      </c>
    </row>
    <row r="9">
      <c r="A9" s="3" t="inlineStr">
        <is>
          <t>實際上班時數(小時)</t>
        </is>
      </c>
      <c r="B9" s="10">
        <f>MAX(0,$B$4-$B$8)</f>
        <v/>
      </c>
    </row>
    <row r="10">
      <c r="A10" s="3" t="inlineStr">
        <is>
          <t>本月全勤實領(元)</t>
        </is>
      </c>
      <c r="B10" s="5">
        <f>ROUND($B$3*($B$9/$B$4),2)</f>
        <v/>
      </c>
    </row>
    <row r="11" ht="20" customHeight="1">
      <c r="A11" s="11" t="inlineStr">
        <is>
          <t>日</t>
        </is>
      </c>
      <c r="B11" s="11" t="inlineStr">
        <is>
          <t>上班打卡</t>
        </is>
      </c>
      <c r="C11" s="11" t="inlineStr">
        <is>
          <t>原始遲到(分)</t>
        </is>
      </c>
      <c r="D11" s="11" t="inlineStr">
        <is>
          <t>累計計入遲到(分)*</t>
        </is>
      </c>
      <c r="E11" s="11" t="inlineStr">
        <is>
          <t>計入遲到(時)</t>
        </is>
      </c>
      <c r="F11" s="11" t="inlineStr">
        <is>
          <t>備註</t>
        </is>
      </c>
    </row>
    <row r="12" ht="18" customHeight="1">
      <c r="A12" s="12" t="n">
        <v>1</v>
      </c>
      <c r="B12" s="13" t="n"/>
      <c r="C12" s="14">
        <f>IF($B12="","",MAX(0,INT((($B12-$B$5)*1440)+0.000001)))</f>
        <v/>
      </c>
      <c r="D12" s="14">
        <f>IF($B12="","",$C12)</f>
        <v/>
      </c>
      <c r="E12" s="15">
        <f>IF($D12="","",$D12/60)</f>
        <v/>
      </c>
      <c r="F12" s="16" t="inlineStr"/>
    </row>
    <row r="13" ht="18" customHeight="1">
      <c r="A13" s="12" t="n">
        <v>2</v>
      </c>
      <c r="B13" s="13" t="n"/>
      <c r="C13" s="14">
        <f>IF($B13="","",MAX(0,INT((($B13-$B$5)*1440)+0.000001)))</f>
        <v/>
      </c>
      <c r="D13" s="14">
        <f>IF($B13="","",$C13)</f>
        <v/>
      </c>
      <c r="E13" s="15">
        <f>IF($D13="","",$D13/60)</f>
        <v/>
      </c>
      <c r="F13" s="16" t="inlineStr"/>
    </row>
    <row r="14" ht="18" customHeight="1">
      <c r="A14" s="12" t="n">
        <v>3</v>
      </c>
      <c r="B14" s="13" t="n"/>
      <c r="C14" s="14">
        <f>IF($B14="","",MAX(0,INT((($B14-$B$5)*1440)+0.000001)))</f>
        <v/>
      </c>
      <c r="D14" s="14">
        <f>IF($B14="","",$C14)</f>
        <v/>
      </c>
      <c r="E14" s="15">
        <f>IF($D14="","",$D14/60)</f>
        <v/>
      </c>
      <c r="F14" s="16" t="inlineStr"/>
    </row>
    <row r="15" ht="18" customHeight="1">
      <c r="A15" s="12" t="n">
        <v>4</v>
      </c>
      <c r="B15" s="13" t="n"/>
      <c r="C15" s="14">
        <f>IF($B15="","",MAX(0,INT((($B15-$B$5)*1440)+0.000001)))</f>
        <v/>
      </c>
      <c r="D15" s="14">
        <f>IF($B15="","",$C15)</f>
        <v/>
      </c>
      <c r="E15" s="15">
        <f>IF($D15="","",$D15/60)</f>
        <v/>
      </c>
      <c r="F15" s="16" t="inlineStr"/>
    </row>
    <row r="16" ht="18" customHeight="1">
      <c r="A16" s="12" t="n">
        <v>5</v>
      </c>
      <c r="B16" s="13" t="n"/>
      <c r="C16" s="14">
        <f>IF($B16="","",MAX(0,INT((($B16-$B$5)*1440)+0.000001)))</f>
        <v/>
      </c>
      <c r="D16" s="14">
        <f>IF($B16="","",$C16)</f>
        <v/>
      </c>
      <c r="E16" s="15">
        <f>IF($D16="","",$D16/60)</f>
        <v/>
      </c>
      <c r="F16" s="16" t="inlineStr"/>
    </row>
    <row r="17" ht="18" customHeight="1">
      <c r="A17" s="12" t="n">
        <v>6</v>
      </c>
      <c r="B17" s="13" t="n"/>
      <c r="C17" s="14">
        <f>IF($B17="","",MAX(0,INT((($B17-$B$5)*1440)+0.000001)))</f>
        <v/>
      </c>
      <c r="D17" s="14">
        <f>IF($B17="","",$C17)</f>
        <v/>
      </c>
      <c r="E17" s="15">
        <f>IF($D17="","",$D17/60)</f>
        <v/>
      </c>
      <c r="F17" s="16" t="inlineStr"/>
    </row>
    <row r="18" ht="18" customHeight="1">
      <c r="A18" s="12" t="n">
        <v>7</v>
      </c>
      <c r="B18" s="13" t="n"/>
      <c r="C18" s="14">
        <f>IF($B18="","",MAX(0,INT((($B18-$B$5)*1440)+0.000001)))</f>
        <v/>
      </c>
      <c r="D18" s="14">
        <f>IF($B18="","",$C18)</f>
        <v/>
      </c>
      <c r="E18" s="15">
        <f>IF($D18="","",$D18/60)</f>
        <v/>
      </c>
      <c r="F18" s="16" t="inlineStr"/>
    </row>
    <row r="19" ht="18" customHeight="1">
      <c r="A19" s="12" t="n">
        <v>8</v>
      </c>
      <c r="B19" s="13" t="n"/>
      <c r="C19" s="14">
        <f>IF($B19="","",MAX(0,INT((($B19-$B$5)*1440)+0.000001)))</f>
        <v/>
      </c>
      <c r="D19" s="14">
        <f>IF($B19="","",$C19)</f>
        <v/>
      </c>
      <c r="E19" s="15">
        <f>IF($D19="","",$D19/60)</f>
        <v/>
      </c>
      <c r="F19" s="16" t="inlineStr"/>
    </row>
    <row r="20" ht="18" customHeight="1">
      <c r="A20" s="12" t="n">
        <v>9</v>
      </c>
      <c r="B20" s="13" t="n"/>
      <c r="C20" s="14">
        <f>IF($B20="","",MAX(0,INT((($B20-$B$5)*1440)+0.000001)))</f>
        <v/>
      </c>
      <c r="D20" s="14">
        <f>IF($B20="","",$C20)</f>
        <v/>
      </c>
      <c r="E20" s="15">
        <f>IF($D20="","",$D20/60)</f>
        <v/>
      </c>
      <c r="F20" s="16" t="inlineStr"/>
    </row>
    <row r="21" ht="18" customHeight="1">
      <c r="A21" s="12" t="n">
        <v>10</v>
      </c>
      <c r="B21" s="13" t="n"/>
      <c r="C21" s="14">
        <f>IF($B21="","",MAX(0,INT((($B21-$B$5)*1440)+0.000001)))</f>
        <v/>
      </c>
      <c r="D21" s="14">
        <f>IF($B21="","",$C21)</f>
        <v/>
      </c>
      <c r="E21" s="15">
        <f>IF($D21="","",$D21/60)</f>
        <v/>
      </c>
      <c r="F21" s="16" t="inlineStr"/>
    </row>
    <row r="22" ht="18" customHeight="1">
      <c r="A22" s="12" t="n">
        <v>11</v>
      </c>
      <c r="B22" s="13" t="n"/>
      <c r="C22" s="14">
        <f>IF($B22="","",MAX(0,INT((($B22-$B$5)*1440)+0.000001)))</f>
        <v/>
      </c>
      <c r="D22" s="14">
        <f>IF($B22="","",$C22)</f>
        <v/>
      </c>
      <c r="E22" s="15">
        <f>IF($D22="","",$D22/60)</f>
        <v/>
      </c>
      <c r="F22" s="16" t="inlineStr"/>
    </row>
    <row r="23" ht="18" customHeight="1">
      <c r="A23" s="12" t="n">
        <v>12</v>
      </c>
      <c r="B23" s="13" t="n"/>
      <c r="C23" s="14">
        <f>IF($B23="","",MAX(0,INT((($B23-$B$5)*1440)+0.000001)))</f>
        <v/>
      </c>
      <c r="D23" s="14">
        <f>IF($B23="","",$C23)</f>
        <v/>
      </c>
      <c r="E23" s="15">
        <f>IF($D23="","",$D23/60)</f>
        <v/>
      </c>
      <c r="F23" s="16" t="inlineStr"/>
    </row>
    <row r="24" ht="18" customHeight="1">
      <c r="A24" s="12" t="n">
        <v>13</v>
      </c>
      <c r="B24" s="13" t="n"/>
      <c r="C24" s="14">
        <f>IF($B24="","",MAX(0,INT((($B24-$B$5)*1440)+0.000001)))</f>
        <v/>
      </c>
      <c r="D24" s="14">
        <f>IF($B24="","",$C24)</f>
        <v/>
      </c>
      <c r="E24" s="15">
        <f>IF($D24="","",$D24/60)</f>
        <v/>
      </c>
      <c r="F24" s="16" t="inlineStr"/>
    </row>
    <row r="25" ht="18" customHeight="1">
      <c r="A25" s="12" t="n">
        <v>14</v>
      </c>
      <c r="B25" s="13" t="n"/>
      <c r="C25" s="14">
        <f>IF($B25="","",MAX(0,INT((($B25-$B$5)*1440)+0.000001)))</f>
        <v/>
      </c>
      <c r="D25" s="14">
        <f>IF($B25="","",$C25)</f>
        <v/>
      </c>
      <c r="E25" s="15">
        <f>IF($D25="","",$D25/60)</f>
        <v/>
      </c>
      <c r="F25" s="16" t="inlineStr"/>
    </row>
    <row r="26" ht="18" customHeight="1">
      <c r="A26" s="12" t="n">
        <v>15</v>
      </c>
      <c r="B26" s="13" t="n"/>
      <c r="C26" s="14">
        <f>IF($B26="","",MAX(0,INT((($B26-$B$5)*1440)+0.000001)))</f>
        <v/>
      </c>
      <c r="D26" s="14">
        <f>IF($B26="","",$C26)</f>
        <v/>
      </c>
      <c r="E26" s="15">
        <f>IF($D26="","",$D26/60)</f>
        <v/>
      </c>
      <c r="F26" s="16" t="inlineStr"/>
    </row>
    <row r="27" ht="18" customHeight="1">
      <c r="A27" s="12" t="n">
        <v>16</v>
      </c>
      <c r="B27" s="13" t="n"/>
      <c r="C27" s="14">
        <f>IF($B27="","",MAX(0,INT((($B27-$B$5)*1440)+0.000001)))</f>
        <v/>
      </c>
      <c r="D27" s="14">
        <f>IF($B27="","",$C27)</f>
        <v/>
      </c>
      <c r="E27" s="15">
        <f>IF($D27="","",$D27/60)</f>
        <v/>
      </c>
      <c r="F27" s="16" t="inlineStr"/>
    </row>
    <row r="28" ht="18" customHeight="1">
      <c r="A28" s="12" t="n">
        <v>17</v>
      </c>
      <c r="B28" s="13" t="n"/>
      <c r="C28" s="14">
        <f>IF($B28="","",MAX(0,INT((($B28-$B$5)*1440)+0.000001)))</f>
        <v/>
      </c>
      <c r="D28" s="14">
        <f>IF($B28="","",$C28)</f>
        <v/>
      </c>
      <c r="E28" s="15">
        <f>IF($D28="","",$D28/60)</f>
        <v/>
      </c>
      <c r="F28" s="16" t="inlineStr"/>
    </row>
    <row r="29" ht="18" customHeight="1">
      <c r="A29" s="12" t="n">
        <v>18</v>
      </c>
      <c r="B29" s="13" t="n"/>
      <c r="C29" s="14">
        <f>IF($B29="","",MAX(0,INT((($B29-$B$5)*1440)+0.000001)))</f>
        <v/>
      </c>
      <c r="D29" s="14">
        <f>IF($B29="","",$C29)</f>
        <v/>
      </c>
      <c r="E29" s="15">
        <f>IF($D29="","",$D29/60)</f>
        <v/>
      </c>
      <c r="F29" s="16" t="inlineStr"/>
    </row>
    <row r="30" ht="18" customHeight="1">
      <c r="A30" s="12" t="n">
        <v>19</v>
      </c>
      <c r="B30" s="13" t="n"/>
      <c r="C30" s="14">
        <f>IF($B30="","",MAX(0,INT((($B30-$B$5)*1440)+0.000001)))</f>
        <v/>
      </c>
      <c r="D30" s="14">
        <f>IF($B30="","",$C30)</f>
        <v/>
      </c>
      <c r="E30" s="15">
        <f>IF($D30="","",$D30/60)</f>
        <v/>
      </c>
      <c r="F30" s="16" t="inlineStr"/>
    </row>
    <row r="31" ht="18" customHeight="1">
      <c r="A31" s="12" t="n">
        <v>20</v>
      </c>
      <c r="B31" s="13" t="n"/>
      <c r="C31" s="14">
        <f>IF($B31="","",MAX(0,INT((($B31-$B$5)*1440)+0.000001)))</f>
        <v/>
      </c>
      <c r="D31" s="14">
        <f>IF($B31="","",$C31)</f>
        <v/>
      </c>
      <c r="E31" s="15">
        <f>IF($D31="","",$D31/60)</f>
        <v/>
      </c>
      <c r="F31" s="16" t="inlineStr"/>
    </row>
    <row r="32" ht="18" customHeight="1">
      <c r="A32" s="12" t="n">
        <v>21</v>
      </c>
      <c r="B32" s="13" t="n"/>
      <c r="C32" s="14">
        <f>IF($B32="","",MAX(0,INT((($B32-$B$5)*1440)+0.000001)))</f>
        <v/>
      </c>
      <c r="D32" s="14">
        <f>IF($B32="","",$C32)</f>
        <v/>
      </c>
      <c r="E32" s="15">
        <f>IF($D32="","",$D32/60)</f>
        <v/>
      </c>
      <c r="F32" s="16" t="inlineStr"/>
    </row>
    <row r="33" ht="18" customHeight="1">
      <c r="A33" s="12" t="n">
        <v>22</v>
      </c>
      <c r="B33" s="13" t="n"/>
      <c r="C33" s="14">
        <f>IF($B33="","",MAX(0,INT((($B33-$B$5)*1440)+0.000001)))</f>
        <v/>
      </c>
      <c r="D33" s="14">
        <f>IF($B33="","",$C33)</f>
        <v/>
      </c>
      <c r="E33" s="15">
        <f>IF($D33="","",$D33/60)</f>
        <v/>
      </c>
      <c r="F33" s="16" t="inlineStr"/>
    </row>
    <row r="34" ht="18" customHeight="1">
      <c r="A34" s="12" t="n">
        <v>23</v>
      </c>
      <c r="B34" s="13" t="n"/>
      <c r="C34" s="14">
        <f>IF($B34="","",MAX(0,INT((($B34-$B$5)*1440)+0.000001)))</f>
        <v/>
      </c>
      <c r="D34" s="14">
        <f>IF($B34="","",$C34)</f>
        <v/>
      </c>
      <c r="E34" s="15">
        <f>IF($D34="","",$D34/60)</f>
        <v/>
      </c>
      <c r="F34" s="16" t="inlineStr"/>
    </row>
    <row r="35" ht="18" customHeight="1">
      <c r="A35" s="12" t="n">
        <v>24</v>
      </c>
      <c r="B35" s="13" t="n"/>
      <c r="C35" s="14">
        <f>IF($B35="","",MAX(0,INT((($B35-$B$5)*1440)+0.000001)))</f>
        <v/>
      </c>
      <c r="D35" s="14">
        <f>IF($B35="","",$C35)</f>
        <v/>
      </c>
      <c r="E35" s="15">
        <f>IF($D35="","",$D35/60)</f>
        <v/>
      </c>
      <c r="F35" s="16" t="inlineStr"/>
    </row>
    <row r="36" ht="18" customHeight="1">
      <c r="A36" s="12" t="n">
        <v>25</v>
      </c>
      <c r="B36" s="13" t="n"/>
      <c r="C36" s="14">
        <f>IF($B36="","",MAX(0,INT((($B36-$B$5)*1440)+0.000001)))</f>
        <v/>
      </c>
      <c r="D36" s="14">
        <f>IF($B36="","",$C36)</f>
        <v/>
      </c>
      <c r="E36" s="15">
        <f>IF($D36="","",$D36/60)</f>
        <v/>
      </c>
      <c r="F36" s="16" t="inlineStr"/>
    </row>
    <row r="37" ht="18" customHeight="1">
      <c r="A37" s="12" t="n">
        <v>26</v>
      </c>
      <c r="B37" s="13" t="n"/>
      <c r="C37" s="14">
        <f>IF($B37="","",MAX(0,INT((($B37-$B$5)*1440)+0.000001)))</f>
        <v/>
      </c>
      <c r="D37" s="14">
        <f>IF($B37="","",$C37)</f>
        <v/>
      </c>
      <c r="E37" s="15">
        <f>IF($D37="","",$D37/60)</f>
        <v/>
      </c>
      <c r="F37" s="16" t="inlineStr"/>
    </row>
    <row r="38" ht="18" customHeight="1">
      <c r="A38" s="12" t="n">
        <v>27</v>
      </c>
      <c r="B38" s="13" t="n"/>
      <c r="C38" s="14">
        <f>IF($B38="","",MAX(0,INT((($B38-$B$5)*1440)+0.000001)))</f>
        <v/>
      </c>
      <c r="D38" s="14">
        <f>IF($B38="","",$C38)</f>
        <v/>
      </c>
      <c r="E38" s="15">
        <f>IF($D38="","",$D38/60)</f>
        <v/>
      </c>
      <c r="F38" s="16" t="inlineStr"/>
    </row>
    <row r="39" ht="18" customHeight="1">
      <c r="A39" s="12" t="n">
        <v>28</v>
      </c>
      <c r="B39" s="13" t="n"/>
      <c r="C39" s="14">
        <f>IF($B39="","",MAX(0,INT((($B39-$B$5)*1440)+0.000001)))</f>
        <v/>
      </c>
      <c r="D39" s="14">
        <f>IF($B39="","",$C39)</f>
        <v/>
      </c>
      <c r="E39" s="15">
        <f>IF($D39="","",$D39/60)</f>
        <v/>
      </c>
      <c r="F39" s="16" t="inlineStr"/>
    </row>
    <row r="40" ht="18" customHeight="1">
      <c r="A40" s="12" t="n">
        <v>29</v>
      </c>
      <c r="B40" s="13" t="n"/>
      <c r="C40" s="14">
        <f>IF($B40="","",MAX(0,INT((($B40-$B$5)*1440)+0.000001)))</f>
        <v/>
      </c>
      <c r="D40" s="14">
        <f>IF($B40="","",$C40)</f>
        <v/>
      </c>
      <c r="E40" s="15">
        <f>IF($D40="","",$D40/60)</f>
        <v/>
      </c>
      <c r="F40" s="16" t="inlineStr"/>
    </row>
    <row r="41" ht="18" customHeight="1">
      <c r="A41" s="12" t="n">
        <v>30</v>
      </c>
      <c r="B41" s="13" t="n"/>
      <c r="C41" s="14">
        <f>IF($B41="","",MAX(0,INT((($B41-$B$5)*1440)+0.000001)))</f>
        <v/>
      </c>
      <c r="D41" s="14">
        <f>IF($B41="","",$C41)</f>
        <v/>
      </c>
      <c r="E41" s="15">
        <f>IF($D41="","",$D41/60)</f>
        <v/>
      </c>
      <c r="F41" s="16" t="inlineStr"/>
    </row>
    <row r="42" ht="18" customHeight="1">
      <c r="A42" s="12" t="n">
        <v>31</v>
      </c>
      <c r="B42" s="13" t="n"/>
      <c r="C42" s="14">
        <f>IF($B42="","",MAX(0,INT((($B42-$B$5)*1440)+0.000001)))</f>
        <v/>
      </c>
      <c r="D42" s="14">
        <f>IF($B42="","",$C42)</f>
        <v/>
      </c>
      <c r="E42" s="15">
        <f>IF($D42="","",$D42/60)</f>
        <v/>
      </c>
      <c r="F42" s="16" t="inlineStr"/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2026-02-03T06:51:01Z</dcterms:created>
  <dcterms:modified xmlns:dcterms="http://purl.org/dc/terms/" xmlns:xsi="http://www.w3.org/2001/XMLSchema-instance" xsi:type="dcterms:W3CDTF">2026-02-03T06:51:01Z</dcterms:modified>
</cp:coreProperties>
</file>