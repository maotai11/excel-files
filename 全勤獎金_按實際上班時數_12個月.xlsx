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9594003dca42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月" sheetId="1" r:id="R3169dadff0734420"/>
    <x:sheet xmlns:r="http://schemas.openxmlformats.org/officeDocument/2006/relationships" name="2月" sheetId="2" r:id="R1bc49fd86f594b29"/>
    <x:sheet xmlns:r="http://schemas.openxmlformats.org/officeDocument/2006/relationships" name="3月" sheetId="3" r:id="R5252d0fa03b34a58"/>
    <x:sheet xmlns:r="http://schemas.openxmlformats.org/officeDocument/2006/relationships" name="4月" sheetId="4" r:id="R523071f2e1ac4407"/>
    <x:sheet xmlns:r="http://schemas.openxmlformats.org/officeDocument/2006/relationships" name="5月" sheetId="5" r:id="R60a38479ff9346ac"/>
    <x:sheet xmlns:r="http://schemas.openxmlformats.org/officeDocument/2006/relationships" name="6月" sheetId="6" r:id="R8bfec8d8eebb4929"/>
    <x:sheet xmlns:r="http://schemas.openxmlformats.org/officeDocument/2006/relationships" name="7月" sheetId="7" r:id="Re22e509fd10742c6"/>
    <x:sheet xmlns:r="http://schemas.openxmlformats.org/officeDocument/2006/relationships" name="8月" sheetId="8" r:id="R837a626e140a4c28"/>
    <x:sheet xmlns:r="http://schemas.openxmlformats.org/officeDocument/2006/relationships" name="9月" sheetId="9" r:id="R4a61bfc318774159"/>
    <x:sheet xmlns:r="http://schemas.openxmlformats.org/officeDocument/2006/relationships" name="10月" sheetId="10" r:id="Re49d9308eace4a6c"/>
    <x:sheet xmlns:r="http://schemas.openxmlformats.org/officeDocument/2006/relationships" name="11月" sheetId="11" r:id="Rc03894a4eeb54884"/>
    <x:sheet xmlns:r="http://schemas.openxmlformats.org/officeDocument/2006/relationships" name="12月" sheetId="12" r:id="R7b205b7beb0743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hh:mm"/>
  </x:numFmts>
  <x:fonts count="5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</x:font>
    <x:font>
      <x:b/>
      <x:color rgb="000000FF"/>
    </x:font>
    <x:font>
      <x:i/>
      <x:color rgb="00404040"/>
    </x:font>
  </x:fonts>
  <x:fills count="7">
    <x:fill>
      <x:patternFill patternType="none"/>
    </x:fill>
    <x:fill>
      <x:patternFill patternType="gray125"/>
    </x:fill>
    <x:fill>
      <x:patternFill patternType="solid">
        <x:fgColor rgb="001F4E79"/>
      </x:patternFill>
    </x:fill>
    <x:fill>
      <x:patternFill patternType="solid">
        <x:fgColor rgb="00F2F2F2"/>
      </x:patternFill>
    </x:fill>
    <x:fill>
      <x:patternFill patternType="solid">
        <x:fgColor rgb="00FFF2CC"/>
      </x:patternFill>
    </x:fill>
    <x:fill>
      <x:patternFill patternType="solid">
        <x:fgColor rgb="00E2EFDA"/>
      </x:patternFill>
    </x:fill>
    <x:fill>
      <x:patternFill patternType="solid">
        <x:fgColor rgb="00D9E1F2"/>
      </x:patternFill>
    </x:fill>
  </x:fills>
  <x:borders count="2">
    <x:border>
      <x:left/>
      <x:right/>
      <x:top/>
      <x:bottom/>
      <x:diagonal/>
    </x:border>
    <x:border>
      <x:left style="thin">
        <x:color rgb="00A6A6A6"/>
      </x:left>
      <x:right style="thin">
        <x:color rgb="00A6A6A6"/>
      </x:right>
      <x:top style="thin">
        <x:color rgb="00A6A6A6"/>
      </x:top>
      <x:bottom style="thin">
        <x:color rgb="00A6A6A6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Alignment="1">
      <x:alignment horizontal="center" vertical="center"/>
    </x:xf>
    <x:xf numFmtId="0" fontId="4" fillId="0" borderId="0" xfId="0" applyAlignment="1">
      <x:alignment horizontal="left" vertical="center" wrapText="1"/>
    </x:xf>
    <x:xf numFmtId="0" fontId="2" fillId="3" borderId="1" xfId="0" applyAlignment="1">
      <x:alignment horizontal="left" vertical="center"/>
    </x:xf>
    <x:xf numFmtId="3" fontId="3" fillId="4" borderId="1" xfId="0" applyAlignment="1">
      <x:alignment horizontal="right" vertical="center"/>
    </x:xf>
    <x:xf numFmtId="4" fontId="2" fillId="5" borderId="1" xfId="0" applyAlignment="1">
      <x:alignment horizontal="right" vertical="center"/>
    </x:xf>
    <x:xf numFmtId="2" fontId="3" fillId="4" borderId="1" xfId="0" applyAlignment="1">
      <x:alignment horizontal="right" vertical="center"/>
    </x:xf>
    <x:xf numFmtId="164" fontId="3" fillId="4" borderId="1" xfId="0" applyAlignment="1">
      <x:alignment horizontal="right" vertical="center"/>
    </x:xf>
    <x:xf numFmtId="1" fontId="3" fillId="4" borderId="1" xfId="0" applyAlignment="1">
      <x:alignment horizontal="right" vertical="center"/>
    </x:xf>
    <x:xf numFmtId="1" fontId="2" fillId="5" borderId="1" xfId="0" applyAlignment="1">
      <x:alignment horizontal="right" vertical="center"/>
    </x:xf>
    <x:xf numFmtId="2" fontId="2" fillId="5" borderId="1" xfId="0" applyAlignment="1">
      <x:alignment horizontal="right" vertical="center"/>
    </x:xf>
    <x:xf numFmtId="0" fontId="2" fillId="6" borderId="1" xfId="0" applyAlignment="1">
      <x:alignment horizontal="center" vertical="center"/>
    </x:xf>
    <x:xf numFmtId="0" fontId="0" fillId="0" borderId="1" xfId="0" applyAlignment="1">
      <x:alignment horizontal="center" vertical="center"/>
    </x:xf>
    <x:xf numFmtId="164" fontId="0" fillId="0" borderId="1" xfId="0" applyAlignment="1">
      <x:alignment horizontal="center" vertical="center"/>
    </x:xf>
    <x:xf numFmtId="1" fontId="0" fillId="0" borderId="1" xfId="0" applyAlignment="1">
      <x:alignment horizontal="right" vertical="center"/>
    </x:xf>
    <x:xf numFmtId="2" fontId="0" fillId="0" borderId="1" xfId="0" applyAlignment="1">
      <x:alignment horizontal="right" vertical="center"/>
    </x:xf>
    <x:xf numFmtId="0" fontId="0" fillId="0" borderId="1" xfId="0" applyAlignment="1">
      <x:alignment horizontal="left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0d82ac41e946cc" /><Relationship Type="http://schemas.openxmlformats.org/officeDocument/2006/relationships/theme" Target="/xl/theme/theme1.xml" Id="Ra4bbe57bc9644f29" /><Relationship Type="http://schemas.openxmlformats.org/officeDocument/2006/relationships/sharedStrings" Target="/xl/sharedStrings.xml" Id="R6b47484b52774d03" /><Relationship Type="http://schemas.openxmlformats.org/officeDocument/2006/relationships/worksheet" Target="/xl/worksheets/sheet1.xml" Id="R3169dadff0734420" /><Relationship Type="http://schemas.openxmlformats.org/officeDocument/2006/relationships/worksheet" Target="/xl/worksheets/sheet2.xml" Id="R1bc49fd86f594b29" /><Relationship Type="http://schemas.openxmlformats.org/officeDocument/2006/relationships/worksheet" Target="/xl/worksheets/sheet3.xml" Id="R5252d0fa03b34a58" /><Relationship Type="http://schemas.openxmlformats.org/officeDocument/2006/relationships/worksheet" Target="/xl/worksheets/sheet4.xml" Id="R523071f2e1ac4407" /><Relationship Type="http://schemas.openxmlformats.org/officeDocument/2006/relationships/worksheet" Target="/xl/worksheets/sheet5.xml" Id="R60a38479ff9346ac" /><Relationship Type="http://schemas.openxmlformats.org/officeDocument/2006/relationships/worksheet" Target="/xl/worksheets/sheet6.xml" Id="R8bfec8d8eebb4929" /><Relationship Type="http://schemas.openxmlformats.org/officeDocument/2006/relationships/worksheet" Target="/xl/worksheets/sheet7.xml" Id="Re22e509fd10742c6" /><Relationship Type="http://schemas.openxmlformats.org/officeDocument/2006/relationships/worksheet" Target="/xl/worksheets/sheet8.xml" Id="R837a626e140a4c28" /><Relationship Type="http://schemas.openxmlformats.org/officeDocument/2006/relationships/worksheet" Target="/xl/worksheets/sheet9.xml" Id="R4a61bfc318774159" /><Relationship Type="http://schemas.openxmlformats.org/officeDocument/2006/relationships/worksheet" Target="/xl/worksheets/sheet10.xml" Id="Re49d9308eace4a6c" /><Relationship Type="http://schemas.openxmlformats.org/officeDocument/2006/relationships/worksheet" Target="/xl/worksheets/sheet11.xml" Id="Rc03894a4eeb54884" /><Relationship Type="http://schemas.openxmlformats.org/officeDocument/2006/relationships/worksheet" Target="/xl/worksheets/sheet12.xml" Id="R7b205b7beb0743e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customWidth="1"/>
    <x:col min="2" max="2" width="16" customWidth="1"/>
    <x:col min="3" max="3" width="14" customWidth="1"/>
    <x:col min="4" max="4" width="18" customWidth="1"/>
    <x:col min="5" max="5" width="16" customWidth="1"/>
    <x:col min="6" max="6" width="22" customWidth="1"/>
  </x:cols>
  <x:sheetData>
    <x:row r="1" ht="26" customHeight="1">
      <x:c r="A1" s="1" t="inlineStr">
        <x:is>
          <x:t xml:space="preserve">1月｜全勤獎金按實際上班時數比例計算</x:t>
        </x:is>
      </x:c>
    </x:row>
    <x:row r="2" ht="34" customHeight="1">
      <x:c r="A2" s="2" t="inlineStr">
        <x:is>
          <x:t xml:space="preserve">說明：打卡時間輸入在「上班打卡」欄。遲到先以(打卡-基準)算分鐘；前「免計分鐘」不扣，從第31分鐘起才開始計入。</x:t>
        </x:is>
      </x:c>
    </x:row>
    <x:row r="3">
      <x:c r="A3" s="3" t="inlineStr">
        <x:is>
          <x:t xml:space="preserve">全勤獎金(元)</x:t>
        </x:is>
      </x:c>
      <x:c r="B3" s="4" t="n">
        <x:v>1000</x:v>
      </x:c>
      <x:c r="D3" s="3" t="inlineStr">
        <x:is>
          <x:t xml:space="preserve">本月全勤扣除(元)</x:t>
        </x:is>
      </x:c>
      <x:c r="E3" s="5">
        <x:f>ROUND($B$3-$B$10,2)</x:f>
        <x:v>0</x:v>
      </x:c>
    </x:row>
    <x:row r="4">
      <x:c r="A4" s="3" t="inlineStr">
        <x:is>
          <x:t xml:space="preserve">應上班時數(小時)</x:t>
        </x:is>
      </x:c>
      <x:c r="B4" s="6" t="n">
        <x:v>184</x:v>
      </x:c>
    </x:row>
    <x:row r="5">
      <x:c r="A5" s="3" t="inlineStr">
        <x:is>
          <x:t xml:space="preserve">上班時間(基準)</x:t>
        </x:is>
      </x:c>
      <x:c r="B5" s="7" t="n">
        <x:v>0.3541666666666667</x:v>
      </x:c>
    </x:row>
    <x:row r="6">
      <x:c r="A6" s="3" t="inlineStr">
        <x:is>
          <x:t xml:space="preserve">遲到免計(分鐘)</x:t>
        </x:is>
      </x:c>
      <x:c r="B6" s="8" t="n">
        <x:v>30</x:v>
      </x:c>
    </x:row>
    <x:row r="7">
      <x:c r="A7" s="3" t="inlineStr">
        <x:is>
          <x:t xml:space="preserve">合計有效遲到(分鐘)</x:t>
        </x:is>
      </x:c>
      <x:c r="B7" s="9">
        <x:f>SUM($D$12:$D$42)</x:f>
        <x:v>0</x:v>
      </x:c>
    </x:row>
    <x:row r="8">
      <x:c r="A8" s="3" t="inlineStr">
        <x:is>
          <x:t xml:space="preserve">合計有效遲到(小時)</x:t>
        </x:is>
      </x:c>
      <x:c r="B8" s="10">
        <x:f>$B$7/60</x:f>
        <x:v>0</x:v>
      </x:c>
    </x:row>
    <x:row r="9">
      <x:c r="A9" s="3" t="inlineStr">
        <x:is>
          <x:t xml:space="preserve">實際上班時數(小時)</x:t>
        </x:is>
      </x:c>
      <x:c r="B9" s="10">
        <x:f>MAX(0,$B$4-$B$8)</x:f>
        <x:v>184</x:v>
      </x:c>
    </x:row>
    <x:row r="10">
      <x:c r="A10" s="3" t="inlineStr">
        <x:is>
          <x:t xml:space="preserve">本月全勤實領(元)</x:t>
        </x:is>
      </x:c>
      <x:c r="B10" s="5">
        <x:f>ROUND($B$3*($B$9/$B$4),2)</x:f>
        <x:v>1000</x:v>
      </x:c>
    </x:row>
    <x:row r="11" ht="20" customHeight="1">
      <x:c r="A11" s="11" t="inlineStr">
        <x:is>
          <x:t xml:space="preserve">日</x:t>
        </x:is>
      </x:c>
      <x:c r="B11" s="11" t="inlineStr">
        <x:is>
          <x:t xml:space="preserve">上班打卡</x:t>
        </x:is>
      </x:c>
      <x:c r="C11" s="11" t="inlineStr">
        <x:is>
          <x:t xml:space="preserve">原始遲到(分)</x:t>
        </x:is>
      </x:c>
      <x:c r="D11" s="11" t="inlineStr">
        <x:is>
          <x:t xml:space="preserve">計入遲到(分)</x:t>
        </x:is>
      </x:c>
      <x:c r="E11" s="11" t="inlineStr">
        <x:is>
          <x:t xml:space="preserve">計入遲到(時)</x:t>
        </x:is>
      </x:c>
      <x:c r="F11" s="11" t="inlineStr">
        <x:is>
          <x:t xml:space="preserve">備註</x:t>
        </x:is>
      </x:c>
    </x:row>
    <x:row r="12" ht="18" customHeight="1">
      <x:c r="A12" s="12" t="n">
        <x:v>1</x:v>
      </x:c>
      <x:c r="B12" s="13" t="n"/>
      <x:c r="C12" s="14">
        <x:f>IF($B12="","",MAX(0,INT((($B12-$B$5)*1440)+0.000001)))</x:f>
      </x:c>
      <x:c r="D12" s="14">
        <x:f>IF($B12="","",MAX(0,$C12-$B$6))</x:f>
      </x:c>
      <x:c r="E12" s="15">
        <x:f>IF($B12="","",$D12/60)</x:f>
      </x:c>
      <x:c r="F12" s="16" t="inlineStr">
        <x:is>
          <x:t xml:space="preserve"/>
        </x:is>
      </x:c>
    </x:row>
    <x:row r="13" ht="18" customHeight="1">
      <x:c r="A13" s="12" t="n">
        <x:v>2</x:v>
      </x:c>
      <x:c r="B13" s="13" t="n"/>
      <x:c r="C13" s="14">
        <x:f>IF($B13="","",MAX(0,INT((($B13-$B$5)*1440)+0.000001)))</x:f>
      </x:c>
      <x:c r="D13" s="14">
        <x:f>IF($B13="","",MAX(0,$C13-$B$6))</x:f>
      </x:c>
      <x:c r="E13" s="15">
        <x:f>IF($B13="","",$D13/60)</x:f>
      </x:c>
      <x:c r="F13" s="16" t="inlineStr">
        <x:is>
          <x:t xml:space="preserve"/>
        </x:is>
      </x:c>
    </x:row>
    <x:row r="14" ht="18" customHeight="1">
      <x:c r="A14" s="12" t="n">
        <x:v>3</x:v>
      </x:c>
      <x:c r="B14" s="13" t="n"/>
      <x:c r="C14" s="14">
        <x:f>IF($B14="","",MAX(0,INT((($B14-$B$5)*1440)+0.000001)))</x:f>
      </x:c>
      <x:c r="D14" s="14">
        <x:f>IF($B14="","",MAX(0,$C14-$B$6))</x:f>
      </x:c>
      <x:c r="E14" s="15">
        <x:f>IF($B14="","",$D14/60)</x:f>
      </x:c>
      <x:c r="F14" s="16" t="inlineStr">
        <x:is>
          <x:t xml:space="preserve"/>
        </x:is>
      </x:c>
    </x:row>
    <x:row r="15" ht="18" customHeight="1">
      <x:c r="A15" s="12" t="n">
        <x:v>4</x:v>
      </x:c>
      <x:c r="B15" s="13" t="n"/>
      <x:c r="C15" s="14">
        <x:f>IF($B15="","",MAX(0,INT((($B15-$B$5)*1440)+0.000001)))</x:f>
      </x:c>
      <x:c r="D15" s="14">
        <x:f>IF($B15="","",MAX(0,$C15-$B$6))</x:f>
      </x:c>
      <x:c r="E15" s="15">
        <x:f>IF($B15="","",$D15/60)</x:f>
      </x:c>
      <x:c r="F15" s="16" t="inlineStr">
        <x:is>
          <x:t xml:space="preserve"/>
        </x:is>
      </x:c>
    </x:row>
    <x:row r="16" ht="18" customHeight="1">
      <x:c r="A16" s="12" t="n">
        <x:v>5</x:v>
      </x:c>
      <x:c r="B16" s="13" t="n"/>
      <x:c r="C16" s="14">
        <x:f>IF($B16="","",MAX(0,INT((($B16-$B$5)*1440)+0.000001)))</x:f>
      </x:c>
      <x:c r="D16" s="14">
        <x:f>IF($B16="","",MAX(0,$C16-$B$6))</x:f>
      </x:c>
      <x:c r="E16" s="15">
        <x:f>IF($B16="","",$D16/60)</x:f>
      </x:c>
      <x:c r="F16" s="16" t="inlineStr">
        <x:is>
          <x:t xml:space="preserve"/>
        </x:is>
      </x:c>
    </x:row>
    <x:row r="17" ht="18" customHeight="1">
      <x:c r="A17" s="12" t="n">
        <x:v>6</x:v>
      </x:c>
      <x:c r="B17" s="13" t="n"/>
      <x:c r="C17" s="14">
        <x:f>IF($B17="","",MAX(0,INT((($B17-$B$5)*1440)+0.000001)))</x:f>
      </x:c>
      <x:c r="D17" s="14">
        <x:f>IF($B17="","",MAX(0,$C17-$B$6))</x:f>
      </x:c>
      <x:c r="E17" s="15">
        <x:f>IF($B17="","",$D17/60)</x:f>
      </x:c>
      <x:c r="F17" s="16" t="inlineStr">
        <x:is>
          <x:t xml:space="preserve"/>
        </x:is>
      </x:c>
    </x:row>
    <x:row r="18" ht="18" customHeight="1">
      <x:c r="A18" s="12" t="n">
        <x:v>7</x:v>
      </x:c>
      <x:c r="B18" s="13" t="n"/>
      <x:c r="C18" s="14">
        <x:f>IF($B18="","",MAX(0,INT((($B18-$B$5)*1440)+0.000001)))</x:f>
      </x:c>
      <x:c r="D18" s="14">
        <x:f>IF($B18="","",MAX(0,$C18-$B$6))</x:f>
      </x:c>
      <x:c r="E18" s="15">
        <x:f>IF($B18="","",$D18/60)</x:f>
      </x:c>
      <x:c r="F18" s="16" t="inlineStr">
        <x:is>
          <x:t xml:space="preserve"/>
        </x:is>
      </x:c>
    </x:row>
    <x:row r="19" ht="18" customHeight="1">
      <x:c r="A19" s="12" t="n">
        <x:v>8</x:v>
      </x:c>
      <x:c r="B19" s="13" t="n"/>
      <x:c r="C19" s="14">
        <x:f>IF($B19="","",MAX(0,INT((($B19-$B$5)*1440)+0.000001)))</x:f>
      </x:c>
      <x:c r="D19" s="14">
        <x:f>IF($B19="","",MAX(0,$C19-$B$6))</x:f>
      </x:c>
      <x:c r="E19" s="15">
        <x:f>IF($B19="","",$D19/60)</x:f>
      </x:c>
      <x:c r="F19" s="16" t="inlineStr">
        <x:is>
          <x:t xml:space="preserve"/>
        </x:is>
      </x:c>
    </x:row>
    <x:row r="20" ht="18" customHeight="1">
      <x:c r="A20" s="12" t="n">
        <x:v>9</x:v>
      </x:c>
      <x:c r="B20" s="13" t="n"/>
      <x:c r="C20" s="14">
        <x:f>IF($B20="","",MAX(0,INT((($B20-$B$5)*1440)+0.000001)))</x:f>
      </x:c>
      <x:c r="D20" s="14">
        <x:f>IF($B20="","",MAX(0,$C20-$B$6))</x:f>
      </x:c>
      <x:c r="E20" s="15">
        <x:f>IF($B20="","",$D20/60)</x:f>
      </x:c>
      <x:c r="F20" s="16" t="inlineStr">
        <x:is>
          <x:t xml:space="preserve"/>
        </x:is>
      </x:c>
    </x:row>
    <x:row r="21" ht="18" customHeight="1">
      <x:c r="A21" s="12" t="n">
        <x:v>10</x:v>
      </x:c>
      <x:c r="B21" s="13" t="n"/>
      <x:c r="C21" s="14">
        <x:f>IF($B21="","",MAX(0,INT((($B21-$B$5)*1440)+0.000001)))</x:f>
      </x:c>
      <x:c r="D21" s="14">
        <x:f>IF($B21="","",MAX(0,$C21-$B$6))</x:f>
      </x:c>
      <x:c r="E21" s="15">
        <x:f>IF($B21="","",$D21/60)</x:f>
      </x:c>
      <x:c r="F21" s="16" t="inlineStr">
        <x:is>
          <x:t xml:space="preserve"/>
        </x:is>
      </x:c>
    </x:row>
    <x:row r="22" ht="18" customHeight="1">
      <x:c r="A22" s="12" t="n">
        <x:v>11</x:v>
      </x:c>
      <x:c r="B22" s="13" t="n"/>
      <x:c r="C22" s="14">
        <x:f>IF($B22="","",MAX(0,INT((($B22-$B$5)*1440)+0.000001)))</x:f>
      </x:c>
      <x:c r="D22" s="14">
        <x:f>IF($B22="","",MAX(0,$C22-$B$6))</x:f>
      </x:c>
      <x:c r="E22" s="15">
        <x:f>IF($B22="","",$D22/60)</x:f>
      </x:c>
      <x:c r="F22" s="16" t="inlineStr">
        <x:is>
          <x:t xml:space="preserve"/>
        </x:is>
      </x:c>
    </x:row>
    <x:row r="23" ht="18" customHeight="1">
      <x:c r="A23" s="12" t="n">
        <x:v>12</x:v>
      </x:c>
      <x:c r="B23" s="13" t="n"/>
      <x:c r="C23" s="14">
        <x:f>IF($B23="","",MAX(0,INT((($B23-$B$5)*1440)+0.000001)))</x:f>
      </x:c>
      <x:c r="D23" s="14">
        <x:f>IF($B23="","",MAX(0,$C23-$B$6))</x:f>
      </x:c>
      <x:c r="E23" s="15">
        <x:f>IF($B23="","",$D23/60)</x:f>
      </x:c>
      <x:c r="F23" s="16" t="inlineStr">
        <x:is>
          <x:t xml:space="preserve"/>
        </x:is>
      </x:c>
    </x:row>
    <x:row r="24" ht="18" customHeight="1">
      <x:c r="A24" s="12" t="n">
        <x:v>13</x:v>
      </x:c>
      <x:c r="B24" s="13" t="n"/>
      <x:c r="C24" s="14">
        <x:f>IF($B24="","",MAX(0,INT((($B24-$B$5)*1440)+0.000001)))</x:f>
      </x:c>
      <x:c r="D24" s="14">
        <x:f>IF($B24="","",MAX(0,$C24-$B$6))</x:f>
      </x:c>
      <x:c r="E24" s="15">
        <x:f>IF($B24="","",$D24/60)</x:f>
      </x:c>
      <x:c r="F24" s="16" t="inlineStr">
        <x:is>
          <x:t xml:space="preserve"/>
        </x:is>
      </x:c>
    </x:row>
    <x:row r="25" ht="18" customHeight="1">
      <x:c r="A25" s="12" t="n">
        <x:v>14</x:v>
      </x:c>
      <x:c r="B25" s="13" t="n"/>
      <x:c r="C25" s="14">
        <x:f>IF($B25="","",MAX(0,INT((($B25-$B$5)*1440)+0.000001)))</x:f>
      </x:c>
      <x:c r="D25" s="14">
        <x:f>IF($B25="","",MAX(0,$C25-$B$6))</x:f>
      </x:c>
      <x:c r="E25" s="15">
        <x:f>IF($B25="","",$D25/60)</x:f>
      </x:c>
      <x:c r="F25" s="16" t="inlineStr">
        <x:is>
          <x:t xml:space="preserve"/>
        </x:is>
      </x:c>
    </x:row>
    <x:row r="26" ht="18" customHeight="1">
      <x:c r="A26" s="12" t="n">
        <x:v>15</x:v>
      </x:c>
      <x:c r="B26" s="13" t="n"/>
      <x:c r="C26" s="14">
        <x:f>IF($B26="","",MAX(0,INT((($B26-$B$5)*1440)+0.000001)))</x:f>
      </x:c>
      <x:c r="D26" s="14">
        <x:f>IF($B26="","",MAX(0,$C26-$B$6))</x:f>
      </x:c>
      <x:c r="E26" s="15">
        <x:f>IF($B26="","",$D26/60)</x:f>
      </x:c>
      <x:c r="F26" s="16" t="inlineStr">
        <x:is>
          <x:t xml:space="preserve"/>
        </x:is>
      </x:c>
    </x:row>
    <x:row r="27" ht="18" customHeight="1">
      <x:c r="A27" s="12" t="n">
        <x:v>16</x:v>
      </x:c>
      <x:c r="B27" s="13" t="n"/>
      <x:c r="C27" s="14">
        <x:f>IF($B27="","",MAX(0,INT((($B27-$B$5)*1440)+0.000001)))</x:f>
      </x:c>
      <x:c r="D27" s="14">
        <x:f>IF($B27="","",MAX(0,$C27-$B$6))</x:f>
      </x:c>
      <x:c r="E27" s="15">
        <x:f>IF($B27="","",$D27/60)</x:f>
      </x:c>
      <x:c r="F27" s="16" t="inlineStr">
        <x:is>
          <x:t xml:space="preserve"/>
        </x:is>
      </x:c>
    </x:row>
    <x:row r="28" ht="18" customHeight="1">
      <x:c r="A28" s="12" t="n">
        <x:v>17</x:v>
      </x:c>
      <x:c r="B28" s="13" t="n"/>
      <x:c r="C28" s="14">
        <x:f>IF($B28="","",MAX(0,INT((($B28-$B$5)*1440)+0.000001)))</x:f>
      </x:c>
      <x:c r="D28" s="14">
        <x:f>IF($B28="","",MAX(0,$C28-$B$6))</x:f>
      </x:c>
      <x:c r="E28" s="15">
        <x:f>IF($B28="","",$D28/60)</x:f>
      </x:c>
      <x:c r="F28" s="16" t="inlineStr">
        <x:is>
          <x:t xml:space="preserve"/>
        </x:is>
      </x:c>
    </x:row>
    <x:row r="29" ht="18" customHeight="1">
      <x:c r="A29" s="12" t="n">
        <x:v>18</x:v>
      </x:c>
      <x:c r="B29" s="13" t="n"/>
      <x:c r="C29" s="14">
        <x:f>IF($B29="","",MAX(0,INT((($B29-$B$5)*1440)+0.000001)))</x:f>
      </x:c>
      <x:c r="D29" s="14">
        <x:f>IF($B29="","",MAX(0,$C29-$B$6))</x:f>
      </x:c>
      <x:c r="E29" s="15">
        <x:f>IF($B29="","",$D29/60)</x:f>
      </x:c>
      <x:c r="F29" s="16" t="inlineStr">
        <x:is>
          <x:t xml:space="preserve"/>
        </x:is>
      </x:c>
    </x:row>
    <x:row r="30" ht="18" customHeight="1">
      <x:c r="A30" s="12" t="n">
        <x:v>19</x:v>
      </x:c>
      <x:c r="B30" s="13" t="n"/>
      <x:c r="C30" s="14">
        <x:f>IF($B30="","",MAX(0,INT((($B30-$B$5)*1440)+0.000001)))</x:f>
      </x:c>
      <x:c r="D30" s="14">
        <x:f>IF($B30="","",MAX(0,$C30-$B$6))</x:f>
      </x:c>
      <x:c r="E30" s="15">
        <x:f>IF($B30="","",$D30/60)</x:f>
      </x:c>
      <x:c r="F30" s="16" t="inlineStr">
        <x:is>
          <x:t xml:space="preserve"/>
        </x:is>
      </x:c>
    </x:row>
    <x:row r="31" ht="18" customHeight="1">
      <x:c r="A31" s="12" t="n">
        <x:v>20</x:v>
      </x:c>
      <x:c r="B31" s="13" t="n"/>
      <x:c r="C31" s="14">
        <x:f>IF($B31="","",MAX(0,INT((($B31-$B$5)*1440)+0.000001)))</x:f>
      </x:c>
      <x:c r="D31" s="14">
        <x:f>IF($B31="","",MAX(0,$C31-$B$6))</x:f>
      </x:c>
      <x:c r="E31" s="15">
        <x:f>IF($B31="","",$D31/60)</x:f>
      </x:c>
      <x:c r="F31" s="16" t="inlineStr">
        <x:is>
          <x:t xml:space="preserve"/>
        </x:is>
      </x:c>
    </x:row>
    <x:row r="32" ht="18" customHeight="1">
      <x:c r="A32" s="12" t="n">
        <x:v>21</x:v>
      </x:c>
      <x:c r="B32" s="13" t="n"/>
      <x:c r="C32" s="14">
        <x:f>IF($B32="","",MAX(0,INT((($B32-$B$5)*1440)+0.000001)))</x:f>
      </x:c>
      <x:c r="D32" s="14">
        <x:f>IF($B32="","",MAX(0,$C32-$B$6))</x:f>
      </x:c>
      <x:c r="E32" s="15">
        <x:f>IF($B32="","",$D32/60)</x:f>
      </x:c>
      <x:c r="F32" s="16" t="inlineStr">
        <x:is>
          <x:t xml:space="preserve"/>
        </x:is>
      </x:c>
    </x:row>
    <x:row r="33" ht="18" customHeight="1">
      <x:c r="A33" s="12" t="n">
        <x:v>22</x:v>
      </x:c>
      <x:c r="B33" s="13" t="n"/>
      <x:c r="C33" s="14">
        <x:f>IF($B33="","",MAX(0,INT((($B33-$B$5)*1440)+0.000001)))</x:f>
      </x:c>
      <x:c r="D33" s="14">
        <x:f>IF($B33="","",MAX(0,$C33-$B$6))</x:f>
      </x:c>
      <x:c r="E33" s="15">
        <x:f>IF($B33="","",$D33/60)</x:f>
      </x:c>
      <x:c r="F33" s="16" t="inlineStr">
        <x:is>
          <x:t xml:space="preserve"/>
        </x:is>
      </x:c>
    </x:row>
    <x:row r="34" ht="18" customHeight="1">
      <x:c r="A34" s="12" t="n">
        <x:v>23</x:v>
      </x:c>
      <x:c r="B34" s="13" t="n"/>
      <x:c r="C34" s="14">
        <x:f>IF($B34="","",MAX(0,INT((($B34-$B$5)*1440)+0.000001)))</x:f>
      </x:c>
      <x:c r="D34" s="14">
        <x:f>IF($B34="","",MAX(0,$C34-$B$6))</x:f>
      </x:c>
      <x:c r="E34" s="15">
        <x:f>IF($B34="","",$D34/60)</x:f>
      </x:c>
      <x:c r="F34" s="16" t="inlineStr">
        <x:is>
          <x:t xml:space="preserve"/>
        </x:is>
      </x:c>
    </x:row>
    <x:row r="35" ht="18" customHeight="1">
      <x:c r="A35" s="12" t="n">
        <x:v>24</x:v>
      </x:c>
      <x:c r="B35" s="13" t="n"/>
      <x:c r="C35" s="14">
        <x:f>IF($B35="","",MAX(0,INT((($B35-$B$5)*1440)+0.000001)))</x:f>
      </x:c>
      <x:c r="D35" s="14">
        <x:f>IF($B35="","",MAX(0,$C35-$B$6))</x:f>
      </x:c>
      <x:c r="E35" s="15">
        <x:f>IF($B35="","",$D35/60)</x:f>
      </x:c>
      <x:c r="F35" s="16" t="inlineStr">
        <x:is>
          <x:t xml:space="preserve"/>
        </x:is>
      </x:c>
    </x:row>
    <x:row r="36" ht="18" customHeight="1">
      <x:c r="A36" s="12" t="n">
        <x:v>25</x:v>
      </x:c>
      <x:c r="B36" s="13" t="n"/>
      <x:c r="C36" s="14">
        <x:f>IF($B36="","",MAX(0,INT((($B36-$B$5)*1440)+0.000001)))</x:f>
      </x:c>
      <x:c r="D36" s="14">
        <x:f>IF($B36="","",MAX(0,$C36-$B$6))</x:f>
      </x:c>
      <x:c r="E36" s="15">
        <x:f>IF($B36="","",$D36/60)</x:f>
      </x:c>
      <x:c r="F36" s="16" t="inlineStr">
        <x:is>
          <x:t xml:space="preserve"/>
        </x:is>
      </x:c>
    </x:row>
    <x:row r="37" ht="18" customHeight="1">
      <x:c r="A37" s="12" t="n">
        <x:v>26</x:v>
      </x:c>
      <x:c r="B37" s="13" t="n"/>
      <x:c r="C37" s="14">
        <x:f>IF($B37="","",MAX(0,INT((($B37-$B$5)*1440)+0.000001)))</x:f>
      </x:c>
      <x:c r="D37" s="14">
        <x:f>IF($B37="","",MAX(0,$C37-$B$6))</x:f>
      </x:c>
      <x:c r="E37" s="15">
        <x:f>IF($B37="","",$D37/60)</x:f>
      </x:c>
      <x:c r="F37" s="16" t="inlineStr">
        <x:is>
          <x:t xml:space="preserve"/>
        </x:is>
      </x:c>
    </x:row>
    <x:row r="38" ht="18" customHeight="1">
      <x:c r="A38" s="12" t="n">
        <x:v>27</x:v>
      </x:c>
      <x:c r="B38" s="13" t="n"/>
      <x:c r="C38" s="14">
        <x:f>IF($B38="","",MAX(0,INT((($B38-$B$5)*1440)+0.000001)))</x:f>
      </x:c>
      <x:c r="D38" s="14">
        <x:f>IF($B38="","",MAX(0,$C38-$B$6))</x:f>
      </x:c>
      <x:c r="E38" s="15">
        <x:f>IF($B38="","",$D38/60)</x:f>
      </x:c>
      <x:c r="F38" s="16" t="inlineStr">
        <x:is>
          <x:t xml:space="preserve"/>
        </x:is>
      </x:c>
    </x:row>
    <x:row r="39" ht="18" customHeight="1">
      <x:c r="A39" s="12" t="n">
        <x:v>28</x:v>
      </x:c>
      <x:c r="B39" s="13" t="n"/>
      <x:c r="C39" s="14">
        <x:f>IF($B39="","",MAX(0,INT((($B39-$B$5)*1440)+0.000001)))</x:f>
      </x:c>
      <x:c r="D39" s="14">
        <x:f>IF($B39="","",MAX(0,$C39-$B$6))</x:f>
      </x:c>
      <x:c r="E39" s="15">
        <x:f>IF($B39="","",$D39/60)</x:f>
      </x:c>
      <x:c r="F39" s="16" t="inlineStr">
        <x:is>
          <x:t xml:space="preserve"/>
        </x:is>
      </x:c>
    </x:row>
    <x:row r="40" ht="18" customHeight="1">
      <x:c r="A40" s="12" t="n">
        <x:v>29</x:v>
      </x:c>
      <x:c r="B40" s="13" t="n"/>
      <x:c r="C40" s="14">
        <x:f>IF($B40="","",MAX(0,INT((($B40-$B$5)*1440)+0.000001)))</x:f>
      </x:c>
      <x:c r="D40" s="14">
        <x:f>IF($B40="","",MAX(0,$C40-$B$6))</x:f>
      </x:c>
      <x:c r="E40" s="15">
        <x:f>IF($B40="","",$D40/60)</x:f>
      </x:c>
      <x:c r="F40" s="16" t="inlineStr">
        <x:is>
          <x:t xml:space="preserve"/>
        </x:is>
      </x:c>
    </x:row>
    <x:row r="41" ht="18" customHeight="1">
      <x:c r="A41" s="12" t="n">
        <x:v>30</x:v>
      </x:c>
      <x:c r="B41" s="13" t="n"/>
      <x:c r="C41" s="14">
        <x:f>IF($B41="","",MAX(0,INT((($B41-$B$5)*1440)+0.000001)))</x:f>
      </x:c>
      <x:c r="D41" s="14">
        <x:f>IF($B41="","",MAX(0,$C41-$B$6))</x:f>
      </x:c>
      <x:c r="E41" s="15">
        <x:f>IF($B41="","",$D41/60)</x:f>
      </x:c>
      <x:c r="F41" s="16" t="inlineStr">
        <x:is>
          <x:t xml:space="preserve"/>
        </x:is>
      </x:c>
    </x:row>
    <x:row r="42" ht="18" customHeight="1">
      <x:c r="A42" s="12" t="n">
        <x:v>31</x:v>
      </x:c>
      <x:c r="B42" s="13" t="n"/>
      <x:c r="C42" s="14">
        <x:f>IF($B42="","",MAX(0,INT((($B42-$B$5)*1440)+0.000001)))</x:f>
      </x:c>
      <x:c r="D42" s="14">
        <x:f>IF($B42="","",MAX(0,$C42-$B$6))</x:f>
      </x:c>
      <x:c r="E42" s="15">
        <x:f>IF($B42="","",$D42/60)</x:f>
      </x:c>
      <x:c r="F42" s="16" t="inlineStr">
        <x:is>
          <x:t xml:space="preserve"/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customWidth="1"/>
    <x:col min="2" max="2" width="16" customWidth="1"/>
    <x:col min="3" max="3" width="14" customWidth="1"/>
    <x:col min="4" max="4" width="18" customWidth="1"/>
    <x:col min="5" max="5" width="16" customWidth="1"/>
    <x:col min="6" max="6" width="22" customWidth="1"/>
  </x:cols>
  <x:sheetData>
    <x:row r="1" ht="26" customHeight="1">
      <x:c r="A1" s="1" t="inlineStr">
        <x:is>
          <x:t xml:space="preserve">2月｜全勤獎金按實際上班時數比例計算</x:t>
        </x:is>
      </x:c>
    </x:row>
    <x:row r="2" ht="34" customHeight="1">
      <x:c r="A2" s="2" t="inlineStr">
        <x:is>
          <x:t xml:space="preserve">說明：打卡時間輸入在「上班打卡」欄。遲到先以(打卡-基準)算分鐘；前「免計分鐘」不扣，從第31分鐘起才開始計入。</x:t>
        </x:is>
      </x:c>
    </x:row>
    <x:row r="3">
      <x:c r="A3" s="3" t="inlineStr">
        <x:is>
          <x:t xml:space="preserve">全勤獎金(元)</x:t>
        </x:is>
      </x:c>
      <x:c r="B3" s="4" t="n">
        <x:v>1000</x:v>
      </x:c>
      <x:c r="D3" s="3" t="inlineStr">
        <x:is>
          <x:t xml:space="preserve">本月全勤扣除(元)</x:t>
        </x:is>
      </x:c>
      <x:c r="E3" s="5">
        <x:f>ROUND($B$3-$B$10,2)</x:f>
        <x:v>0</x:v>
      </x:c>
    </x:row>
    <x:row r="4">
      <x:c r="A4" s="3" t="inlineStr">
        <x:is>
          <x:t xml:space="preserve">應上班時數(小時)</x:t>
        </x:is>
      </x:c>
      <x:c r="B4" s="6" t="n">
        <x:v>184</x:v>
      </x:c>
    </x:row>
    <x:row r="5">
      <x:c r="A5" s="3" t="inlineStr">
        <x:is>
          <x:t xml:space="preserve">上班時間(基準)</x:t>
        </x:is>
      </x:c>
      <x:c r="B5" s="7" t="n">
        <x:v>0.3541666666666667</x:v>
      </x:c>
    </x:row>
    <x:row r="6">
      <x:c r="A6" s="3" t="inlineStr">
        <x:is>
          <x:t xml:space="preserve">遲到免計(分鐘)</x:t>
        </x:is>
      </x:c>
      <x:c r="B6" s="8" t="n">
        <x:v>30</x:v>
      </x:c>
    </x:row>
    <x:row r="7">
      <x:c r="A7" s="3" t="inlineStr">
        <x:is>
          <x:t xml:space="preserve">合計有效遲到(分鐘)</x:t>
        </x:is>
      </x:c>
      <x:c r="B7" s="9">
        <x:f>SUM($D$12:$D$42)</x:f>
        <x:v>0</x:v>
      </x:c>
    </x:row>
    <x:row r="8">
      <x:c r="A8" s="3" t="inlineStr">
        <x:is>
          <x:t xml:space="preserve">合計有效遲到(小時)</x:t>
        </x:is>
      </x:c>
      <x:c r="B8" s="10">
        <x:f>$B$7/60</x:f>
        <x:v>0</x:v>
      </x:c>
    </x:row>
    <x:row r="9">
      <x:c r="A9" s="3" t="inlineStr">
        <x:is>
          <x:t xml:space="preserve">實際上班時數(小時)</x:t>
        </x:is>
      </x:c>
      <x:c r="B9" s="10">
        <x:f>MAX(0,$B$4-$B$8)</x:f>
        <x:v>184</x:v>
      </x:c>
    </x:row>
    <x:row r="10">
      <x:c r="A10" s="3" t="inlineStr">
        <x:is>
          <x:t xml:space="preserve">本月全勤實領(元)</x:t>
        </x:is>
      </x:c>
      <x:c r="B10" s="5">
        <x:f>ROUND($B$3*($B$9/$B$4),2)</x:f>
        <x:v>1000</x:v>
      </x:c>
    </x:row>
    <x:row r="11" ht="20" customHeight="1">
      <x:c r="A11" s="11" t="inlineStr">
        <x:is>
          <x:t xml:space="preserve">日</x:t>
        </x:is>
      </x:c>
      <x:c r="B11" s="11" t="inlineStr">
        <x:is>
          <x:t xml:space="preserve">上班打卡</x:t>
        </x:is>
      </x:c>
      <x:c r="C11" s="11" t="inlineStr">
        <x:is>
          <x:t xml:space="preserve">原始遲到(分)</x:t>
        </x:is>
      </x:c>
      <x:c r="D11" s="11" t="inlineStr">
        <x:is>
          <x:t xml:space="preserve">計入遲到(分)</x:t>
        </x:is>
      </x:c>
      <x:c r="E11" s="11" t="inlineStr">
        <x:is>
          <x:t xml:space="preserve">計入遲到(時)</x:t>
        </x:is>
      </x:c>
      <x:c r="F11" s="11" t="inlineStr">
        <x:is>
          <x:t xml:space="preserve">備註</x:t>
        </x:is>
      </x:c>
    </x:row>
    <x:row r="12" ht="18" customHeight="1">
      <x:c r="A12" s="12" t="n">
        <x:v>1</x:v>
      </x:c>
      <x:c r="B12" s="13" t="n"/>
      <x:c r="C12" s="14">
        <x:f>IF($B12="","",MAX(0,INT((($B12-$B$5)*1440)+0.000001)))</x:f>
      </x:c>
      <x:c r="D12" s="14">
        <x:f>IF($B12="","",MAX(0,$C12-$B$6))</x:f>
      </x:c>
      <x:c r="E12" s="15">
        <x:f>IF($B12="","",$D12/60)</x:f>
      </x:c>
      <x:c r="F12" s="16" t="inlineStr">
        <x:is>
          <x:t xml:space="preserve"/>
        </x:is>
      </x:c>
    </x:row>
    <x:row r="13" ht="18" customHeight="1">
      <x:c r="A13" s="12" t="n">
        <x:v>2</x:v>
      </x:c>
      <x:c r="B13" s="13" t="n"/>
      <x:c r="C13" s="14">
        <x:f>IF($B13="","",MAX(0,INT((($B13-$B$5)*1440)+0.000001)))</x:f>
      </x:c>
      <x:c r="D13" s="14">
        <x:f>IF($B13="","",MAX(0,$C13-$B$6))</x:f>
      </x:c>
      <x:c r="E13" s="15">
        <x:f>IF($B13="","",$D13/60)</x:f>
      </x:c>
      <x:c r="F13" s="16" t="inlineStr">
        <x:is>
          <x:t xml:space="preserve"/>
        </x:is>
      </x:c>
    </x:row>
    <x:row r="14" ht="18" customHeight="1">
      <x:c r="A14" s="12" t="n">
        <x:v>3</x:v>
      </x:c>
      <x:c r="B14" s="13" t="n"/>
      <x:c r="C14" s="14">
        <x:f>IF($B14="","",MAX(0,INT((($B14-$B$5)*1440)+0.000001)))</x:f>
      </x:c>
      <x:c r="D14" s="14">
        <x:f>IF($B14="","",MAX(0,$C14-$B$6))</x:f>
      </x:c>
      <x:c r="E14" s="15">
        <x:f>IF($B14="","",$D14/60)</x:f>
      </x:c>
      <x:c r="F14" s="16" t="inlineStr">
        <x:is>
          <x:t xml:space="preserve"/>
        </x:is>
      </x:c>
    </x:row>
    <x:row r="15" ht="18" customHeight="1">
      <x:c r="A15" s="12" t="n">
        <x:v>4</x:v>
      </x:c>
      <x:c r="B15" s="13" t="n"/>
      <x:c r="C15" s="14">
        <x:f>IF($B15="","",MAX(0,INT((($B15-$B$5)*1440)+0.000001)))</x:f>
      </x:c>
      <x:c r="D15" s="14">
        <x:f>IF($B15="","",MAX(0,$C15-$B$6))</x:f>
      </x:c>
      <x:c r="E15" s="15">
        <x:f>IF($B15="","",$D15/60)</x:f>
      </x:c>
      <x:c r="F15" s="16" t="inlineStr">
        <x:is>
          <x:t xml:space="preserve"/>
        </x:is>
      </x:c>
    </x:row>
    <x:row r="16" ht="18" customHeight="1">
      <x:c r="A16" s="12" t="n">
        <x:v>5</x:v>
      </x:c>
      <x:c r="B16" s="13" t="n"/>
      <x:c r="C16" s="14">
        <x:f>IF($B16="","",MAX(0,INT((($B16-$B$5)*1440)+0.000001)))</x:f>
      </x:c>
      <x:c r="D16" s="14">
        <x:f>IF($B16="","",MAX(0,$C16-$B$6))</x:f>
      </x:c>
      <x:c r="E16" s="15">
        <x:f>IF($B16="","",$D16/60)</x:f>
      </x:c>
      <x:c r="F16" s="16" t="inlineStr">
        <x:is>
          <x:t xml:space="preserve"/>
        </x:is>
      </x:c>
    </x:row>
    <x:row r="17" ht="18" customHeight="1">
      <x:c r="A17" s="12" t="n">
        <x:v>6</x:v>
      </x:c>
      <x:c r="B17" s="13" t="n"/>
      <x:c r="C17" s="14">
        <x:f>IF($B17="","",MAX(0,INT((($B17-$B$5)*1440)+0.000001)))</x:f>
      </x:c>
      <x:c r="D17" s="14">
        <x:f>IF($B17="","",MAX(0,$C17-$B$6))</x:f>
      </x:c>
      <x:c r="E17" s="15">
        <x:f>IF($B17="","",$D17/60)</x:f>
      </x:c>
      <x:c r="F17" s="16" t="inlineStr">
        <x:is>
          <x:t xml:space="preserve"/>
        </x:is>
      </x:c>
    </x:row>
    <x:row r="18" ht="18" customHeight="1">
      <x:c r="A18" s="12" t="n">
        <x:v>7</x:v>
      </x:c>
      <x:c r="B18" s="13" t="n"/>
      <x:c r="C18" s="14">
        <x:f>IF($B18="","",MAX(0,INT((($B18-$B$5)*1440)+0.000001)))</x:f>
      </x:c>
      <x:c r="D18" s="14">
        <x:f>IF($B18="","",MAX(0,$C18-$B$6))</x:f>
      </x:c>
      <x:c r="E18" s="15">
        <x:f>IF($B18="","",$D18/60)</x:f>
      </x:c>
      <x:c r="F18" s="16" t="inlineStr">
        <x:is>
          <x:t xml:space="preserve"/>
        </x:is>
      </x:c>
    </x:row>
    <x:row r="19" ht="18" customHeight="1">
      <x:c r="A19" s="12" t="n">
        <x:v>8</x:v>
      </x:c>
      <x:c r="B19" s="13" t="n"/>
      <x:c r="C19" s="14">
        <x:f>IF($B19="","",MAX(0,INT((($B19-$B$5)*1440)+0.000001)))</x:f>
      </x:c>
      <x:c r="D19" s="14">
        <x:f>IF($B19="","",MAX(0,$C19-$B$6))</x:f>
      </x:c>
      <x:c r="E19" s="15">
        <x:f>IF($B19="","",$D19/60)</x:f>
      </x:c>
      <x:c r="F19" s="16" t="inlineStr">
        <x:is>
          <x:t xml:space="preserve"/>
        </x:is>
      </x:c>
    </x:row>
    <x:row r="20" ht="18" customHeight="1">
      <x:c r="A20" s="12" t="n">
        <x:v>9</x:v>
      </x:c>
      <x:c r="B20" s="13" t="n"/>
      <x:c r="C20" s="14">
        <x:f>IF($B20="","",MAX(0,INT((($B20-$B$5)*1440)+0.000001)))</x:f>
      </x:c>
      <x:c r="D20" s="14">
        <x:f>IF($B20="","",MAX(0,$C20-$B$6))</x:f>
      </x:c>
      <x:c r="E20" s="15">
        <x:f>IF($B20="","",$D20/60)</x:f>
      </x:c>
      <x:c r="F20" s="16" t="inlineStr">
        <x:is>
          <x:t xml:space="preserve"/>
        </x:is>
      </x:c>
    </x:row>
    <x:row r="21" ht="18" customHeight="1">
      <x:c r="A21" s="12" t="n">
        <x:v>10</x:v>
      </x:c>
      <x:c r="B21" s="13" t="n"/>
      <x:c r="C21" s="14">
        <x:f>IF($B21="","",MAX(0,INT((($B21-$B$5)*1440)+0.000001)))</x:f>
      </x:c>
      <x:c r="D21" s="14">
        <x:f>IF($B21="","",MAX(0,$C21-$B$6))</x:f>
      </x:c>
      <x:c r="E21" s="15">
        <x:f>IF($B21="","",$D21/60)</x:f>
      </x:c>
      <x:c r="F21" s="16" t="inlineStr">
        <x:is>
          <x:t xml:space="preserve"/>
        </x:is>
      </x:c>
    </x:row>
    <x:row r="22" ht="18" customHeight="1">
      <x:c r="A22" s="12" t="n">
        <x:v>11</x:v>
      </x:c>
      <x:c r="B22" s="13" t="n"/>
      <x:c r="C22" s="14">
        <x:f>IF($B22="","",MAX(0,INT((($B22-$B$5)*1440)+0.000001)))</x:f>
      </x:c>
      <x:c r="D22" s="14">
        <x:f>IF($B22="","",MAX(0,$C22-$B$6))</x:f>
      </x:c>
      <x:c r="E22" s="15">
        <x:f>IF($B22="","",$D22/60)</x:f>
      </x:c>
      <x:c r="F22" s="16" t="inlineStr">
        <x:is>
          <x:t xml:space="preserve"/>
        </x:is>
      </x:c>
    </x:row>
    <x:row r="23" ht="18" customHeight="1">
      <x:c r="A23" s="12" t="n">
        <x:v>12</x:v>
      </x:c>
      <x:c r="B23" s="13" t="n"/>
      <x:c r="C23" s="14">
        <x:f>IF($B23="","",MAX(0,INT((($B23-$B$5)*1440)+0.000001)))</x:f>
      </x:c>
      <x:c r="D23" s="14">
        <x:f>IF($B23="","",MAX(0,$C23-$B$6))</x:f>
      </x:c>
      <x:c r="E23" s="15">
        <x:f>IF($B23="","",$D23/60)</x:f>
      </x:c>
      <x:c r="F23" s="16" t="inlineStr">
        <x:is>
          <x:t xml:space="preserve"/>
        </x:is>
      </x:c>
    </x:row>
    <x:row r="24" ht="18" customHeight="1">
      <x:c r="A24" s="12" t="n">
        <x:v>13</x:v>
      </x:c>
      <x:c r="B24" s="13" t="n"/>
      <x:c r="C24" s="14">
        <x:f>IF($B24="","",MAX(0,INT((($B24-$B$5)*1440)+0.000001)))</x:f>
      </x:c>
      <x:c r="D24" s="14">
        <x:f>IF($B24="","",MAX(0,$C24-$B$6))</x:f>
      </x:c>
      <x:c r="E24" s="15">
        <x:f>IF($B24="","",$D24/60)</x:f>
      </x:c>
      <x:c r="F24" s="16" t="inlineStr">
        <x:is>
          <x:t xml:space="preserve"/>
        </x:is>
      </x:c>
    </x:row>
    <x:row r="25" ht="18" customHeight="1">
      <x:c r="A25" s="12" t="n">
        <x:v>14</x:v>
      </x:c>
      <x:c r="B25" s="13" t="n"/>
      <x:c r="C25" s="14">
        <x:f>IF($B25="","",MAX(0,INT((($B25-$B$5)*1440)+0.000001)))</x:f>
      </x:c>
      <x:c r="D25" s="14">
        <x:f>IF($B25="","",MAX(0,$C25-$B$6))</x:f>
      </x:c>
      <x:c r="E25" s="15">
        <x:f>IF($B25="","",$D25/60)</x:f>
      </x:c>
      <x:c r="F25" s="16" t="inlineStr">
        <x:is>
          <x:t xml:space="preserve"/>
        </x:is>
      </x:c>
    </x:row>
    <x:row r="26" ht="18" customHeight="1">
      <x:c r="A26" s="12" t="n">
        <x:v>15</x:v>
      </x:c>
      <x:c r="B26" s="13" t="n"/>
      <x:c r="C26" s="14">
        <x:f>IF($B26="","",MAX(0,INT((($B26-$B$5)*1440)+0.000001)))</x:f>
      </x:c>
      <x:c r="D26" s="14">
        <x:f>IF($B26="","",MAX(0,$C26-$B$6))</x:f>
      </x:c>
      <x:c r="E26" s="15">
        <x:f>IF($B26="","",$D26/60)</x:f>
      </x:c>
      <x:c r="F26" s="16" t="inlineStr">
        <x:is>
          <x:t xml:space="preserve"/>
        </x:is>
      </x:c>
    </x:row>
    <x:row r="27" ht="18" customHeight="1">
      <x:c r="A27" s="12" t="n">
        <x:v>16</x:v>
      </x:c>
      <x:c r="B27" s="13" t="n"/>
      <x:c r="C27" s="14">
        <x:f>IF($B27="","",MAX(0,INT((($B27-$B$5)*1440)+0.000001)))</x:f>
      </x:c>
      <x:c r="D27" s="14">
        <x:f>IF($B27="","",MAX(0,$C27-$B$6))</x:f>
      </x:c>
      <x:c r="E27" s="15">
        <x:f>IF($B27="","",$D27/60)</x:f>
      </x:c>
      <x:c r="F27" s="16" t="inlineStr">
        <x:is>
          <x:t xml:space="preserve"/>
        </x:is>
      </x:c>
    </x:row>
    <x:row r="28" ht="18" customHeight="1">
      <x:c r="A28" s="12" t="n">
        <x:v>17</x:v>
      </x:c>
      <x:c r="B28" s="13" t="n"/>
      <x:c r="C28" s="14">
        <x:f>IF($B28="","",MAX(0,INT((($B28-$B$5)*1440)+0.000001)))</x:f>
      </x:c>
      <x:c r="D28" s="14">
        <x:f>IF($B28="","",MAX(0,$C28-$B$6))</x:f>
      </x:c>
      <x:c r="E28" s="15">
        <x:f>IF($B28="","",$D28/60)</x:f>
      </x:c>
      <x:c r="F28" s="16" t="inlineStr">
        <x:is>
          <x:t xml:space="preserve"/>
        </x:is>
      </x:c>
    </x:row>
    <x:row r="29" ht="18" customHeight="1">
      <x:c r="A29" s="12" t="n">
        <x:v>18</x:v>
      </x:c>
      <x:c r="B29" s="13" t="n"/>
      <x:c r="C29" s="14">
        <x:f>IF($B29="","",MAX(0,INT((($B29-$B$5)*1440)+0.000001)))</x:f>
      </x:c>
      <x:c r="D29" s="14">
        <x:f>IF($B29="","",MAX(0,$C29-$B$6))</x:f>
      </x:c>
      <x:c r="E29" s="15">
        <x:f>IF($B29="","",$D29/60)</x:f>
      </x:c>
      <x:c r="F29" s="16" t="inlineStr">
        <x:is>
          <x:t xml:space="preserve"/>
        </x:is>
      </x:c>
    </x:row>
    <x:row r="30" ht="18" customHeight="1">
      <x:c r="A30" s="12" t="n">
        <x:v>19</x:v>
      </x:c>
      <x:c r="B30" s="13" t="n"/>
      <x:c r="C30" s="14">
        <x:f>IF($B30="","",MAX(0,INT((($B30-$B$5)*1440)+0.000001)))</x:f>
      </x:c>
      <x:c r="D30" s="14">
        <x:f>IF($B30="","",MAX(0,$C30-$B$6))</x:f>
      </x:c>
      <x:c r="E30" s="15">
        <x:f>IF($B30="","",$D30/60)</x:f>
      </x:c>
      <x:c r="F30" s="16" t="inlineStr">
        <x:is>
          <x:t xml:space="preserve"/>
        </x:is>
      </x:c>
    </x:row>
    <x:row r="31" ht="18" customHeight="1">
      <x:c r="A31" s="12" t="n">
        <x:v>20</x:v>
      </x:c>
      <x:c r="B31" s="13" t="n"/>
      <x:c r="C31" s="14">
        <x:f>IF($B31="","",MAX(0,INT((($B31-$B$5)*1440)+0.000001)))</x:f>
      </x:c>
      <x:c r="D31" s="14">
        <x:f>IF($B31="","",MAX(0,$C31-$B$6))</x:f>
      </x:c>
      <x:c r="E31" s="15">
        <x:f>IF($B31="","",$D31/60)</x:f>
      </x:c>
      <x:c r="F31" s="16" t="inlineStr">
        <x:is>
          <x:t xml:space="preserve"/>
        </x:is>
      </x:c>
    </x:row>
    <x:row r="32" ht="18" customHeight="1">
      <x:c r="A32" s="12" t="n">
        <x:v>21</x:v>
      </x:c>
      <x:c r="B32" s="13" t="n"/>
      <x:c r="C32" s="14">
        <x:f>IF($B32="","",MAX(0,INT((($B32-$B$5)*1440)+0.000001)))</x:f>
      </x:c>
      <x:c r="D32" s="14">
        <x:f>IF($B32="","",MAX(0,$C32-$B$6))</x:f>
      </x:c>
      <x:c r="E32" s="15">
        <x:f>IF($B32="","",$D32/60)</x:f>
      </x:c>
      <x:c r="F32" s="16" t="inlineStr">
        <x:is>
          <x:t xml:space="preserve"/>
        </x:is>
      </x:c>
    </x:row>
    <x:row r="33" ht="18" customHeight="1">
      <x:c r="A33" s="12" t="n">
        <x:v>22</x:v>
      </x:c>
      <x:c r="B33" s="13" t="n"/>
      <x:c r="C33" s="14">
        <x:f>IF($B33="","",MAX(0,INT((($B33-$B$5)*1440)+0.000001)))</x:f>
      </x:c>
      <x:c r="D33" s="14">
        <x:f>IF($B33="","",MAX(0,$C33-$B$6))</x:f>
      </x:c>
      <x:c r="E33" s="15">
        <x:f>IF($B33="","",$D33/60)</x:f>
      </x:c>
      <x:c r="F33" s="16" t="inlineStr">
        <x:is>
          <x:t xml:space="preserve"/>
        </x:is>
      </x:c>
    </x:row>
    <x:row r="34" ht="18" customHeight="1">
      <x:c r="A34" s="12" t="n">
        <x:v>23</x:v>
      </x:c>
      <x:c r="B34" s="13" t="n"/>
      <x:c r="C34" s="14">
        <x:f>IF($B34="","",MAX(0,INT((($B34-$B$5)*1440)+0.000001)))</x:f>
      </x:c>
      <x:c r="D34" s="14">
        <x:f>IF($B34="","",MAX(0,$C34-$B$6))</x:f>
      </x:c>
      <x:c r="E34" s="15">
        <x:f>IF($B34="","",$D34/60)</x:f>
      </x:c>
      <x:c r="F34" s="16" t="inlineStr">
        <x:is>
          <x:t xml:space="preserve"/>
        </x:is>
      </x:c>
    </x:row>
    <x:row r="35" ht="18" customHeight="1">
      <x:c r="A35" s="12" t="n">
        <x:v>24</x:v>
      </x:c>
      <x:c r="B35" s="13" t="n"/>
      <x:c r="C35" s="14">
        <x:f>IF($B35="","",MAX(0,INT((($B35-$B$5)*1440)+0.000001)))</x:f>
      </x:c>
      <x:c r="D35" s="14">
        <x:f>IF($B35="","",MAX(0,$C35-$B$6))</x:f>
      </x:c>
      <x:c r="E35" s="15">
        <x:f>IF($B35="","",$D35/60)</x:f>
      </x:c>
      <x:c r="F35" s="16" t="inlineStr">
        <x:is>
          <x:t xml:space="preserve"/>
        </x:is>
      </x:c>
    </x:row>
    <x:row r="36" ht="18" customHeight="1">
      <x:c r="A36" s="12" t="n">
        <x:v>25</x:v>
      </x:c>
      <x:c r="B36" s="13" t="n"/>
      <x:c r="C36" s="14">
        <x:f>IF($B36="","",MAX(0,INT((($B36-$B$5)*1440)+0.000001)))</x:f>
      </x:c>
      <x:c r="D36" s="14">
        <x:f>IF($B36="","",MAX(0,$C36-$B$6))</x:f>
      </x:c>
      <x:c r="E36" s="15">
        <x:f>IF($B36="","",$D36/60)</x:f>
      </x:c>
      <x:c r="F36" s="16" t="inlineStr">
        <x:is>
          <x:t xml:space="preserve"/>
        </x:is>
      </x:c>
    </x:row>
    <x:row r="37" ht="18" customHeight="1">
      <x:c r="A37" s="12" t="n">
        <x:v>26</x:v>
      </x:c>
      <x:c r="B37" s="13" t="n"/>
      <x:c r="C37" s="14">
        <x:f>IF($B37="","",MAX(0,INT((($B37-$B$5)*1440)+0.000001)))</x:f>
      </x:c>
      <x:c r="D37" s="14">
        <x:f>IF($B37="","",MAX(0,$C37-$B$6))</x:f>
      </x:c>
      <x:c r="E37" s="15">
        <x:f>IF($B37="","",$D37/60)</x:f>
      </x:c>
      <x:c r="F37" s="16" t="inlineStr">
        <x:is>
          <x:t xml:space="preserve"/>
        </x:is>
      </x:c>
    </x:row>
    <x:row r="38" ht="18" customHeight="1">
      <x:c r="A38" s="12" t="n">
        <x:v>27</x:v>
      </x:c>
      <x:c r="B38" s="13" t="n"/>
      <x:c r="C38" s="14">
        <x:f>IF($B38="","",MAX(0,INT((($B38-$B$5)*1440)+0.000001)))</x:f>
      </x:c>
      <x:c r="D38" s="14">
        <x:f>IF($B38="","",MAX(0,$C38-$B$6))</x:f>
      </x:c>
      <x:c r="E38" s="15">
        <x:f>IF($B38="","",$D38/60)</x:f>
      </x:c>
      <x:c r="F38" s="16" t="inlineStr">
        <x:is>
          <x:t xml:space="preserve"/>
        </x:is>
      </x:c>
    </x:row>
    <x:row r="39" ht="18" customHeight="1">
      <x:c r="A39" s="12" t="n">
        <x:v>28</x:v>
      </x:c>
      <x:c r="B39" s="13" t="n"/>
      <x:c r="C39" s="14">
        <x:f>IF($B39="","",MAX(0,INT((($B39-$B$5)*1440)+0.000001)))</x:f>
      </x:c>
      <x:c r="D39" s="14">
        <x:f>IF($B39="","",MAX(0,$C39-$B$6))</x:f>
      </x:c>
      <x:c r="E39" s="15">
        <x:f>IF($B39="","",$D39/60)</x:f>
      </x:c>
      <x:c r="F39" s="16" t="inlineStr">
        <x:is>
          <x:t xml:space="preserve"/>
        </x:is>
      </x:c>
    </x:row>
    <x:row r="40" ht="18" customHeight="1">
      <x:c r="A40" s="12" t="n">
        <x:v>29</x:v>
      </x:c>
      <x:c r="B40" s="13" t="n"/>
      <x:c r="C40" s="14">
        <x:f>IF($B40="","",MAX(0,INT((($B40-$B$5)*1440)+0.000001)))</x:f>
      </x:c>
      <x:c r="D40" s="14">
        <x:f>IF($B40="","",MAX(0,$C40-$B$6))</x:f>
      </x:c>
      <x:c r="E40" s="15">
        <x:f>IF($B40="","",$D40/60)</x:f>
      </x:c>
      <x:c r="F40" s="16" t="inlineStr">
        <x:is>
          <x:t xml:space="preserve"/>
        </x:is>
      </x:c>
    </x:row>
    <x:row r="41" ht="18" customHeight="1">
      <x:c r="A41" s="12" t="n">
        <x:v>30</x:v>
      </x:c>
      <x:c r="B41" s="13" t="n"/>
      <x:c r="C41" s="14">
        <x:f>IF($B41="","",MAX(0,INT((($B41-$B$5)*1440)+0.000001)))</x:f>
      </x:c>
      <x:c r="D41" s="14">
        <x:f>IF($B41="","",MAX(0,$C41-$B$6))</x:f>
      </x:c>
      <x:c r="E41" s="15">
        <x:f>IF($B41="","",$D41/60)</x:f>
      </x:c>
      <x:c r="F41" s="16" t="inlineStr">
        <x:is>
          <x:t xml:space="preserve"/>
        </x:is>
      </x:c>
    </x:row>
    <x:row r="42" ht="18" customHeight="1">
      <x:c r="A42" s="12" t="n">
        <x:v>31</x:v>
      </x:c>
      <x:c r="B42" s="13" t="n"/>
      <x:c r="C42" s="14">
        <x:f>IF($B42="","",MAX(0,INT((($B42-$B$5)*1440)+0.000001)))</x:f>
      </x:c>
      <x:c r="D42" s="14">
        <x:f>IF($B42="","",MAX(0,$C42-$B$6))</x:f>
      </x:c>
      <x:c r="E42" s="15">
        <x:f>IF($B42="","",$D42/60)</x:f>
      </x:c>
      <x:c r="F42" s="16" t="inlineStr">
        <x:is>
          <x:t xml:space="preserve"/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customWidth="1"/>
    <x:col min="2" max="2" width="16" customWidth="1"/>
    <x:col min="3" max="3" width="14" customWidth="1"/>
    <x:col min="4" max="4" width="18" customWidth="1"/>
    <x:col min="5" max="5" width="16" customWidth="1"/>
    <x:col min="6" max="6" width="22" customWidth="1"/>
  </x:cols>
  <x:sheetData>
    <x:row r="1" ht="26" customHeight="1">
      <x:c r="A1" s="1" t="inlineStr">
        <x:is>
          <x:t xml:space="preserve">3月｜全勤獎金按實際上班時數比例計算</x:t>
        </x:is>
      </x:c>
    </x:row>
    <x:row r="2" ht="34" customHeight="1">
      <x:c r="A2" s="2" t="inlineStr">
        <x:is>
          <x:t xml:space="preserve">說明：打卡時間輸入在「上班打卡」欄。遲到先以(打卡-基準)算分鐘；前「免計分鐘」不扣，從第31分鐘起才開始計入。</x:t>
        </x:is>
      </x:c>
    </x:row>
    <x:row r="3">
      <x:c r="A3" s="3" t="inlineStr">
        <x:is>
          <x:t xml:space="preserve">全勤獎金(元)</x:t>
        </x:is>
      </x:c>
      <x:c r="B3" s="4" t="n">
        <x:v>1000</x:v>
      </x:c>
      <x:c r="D3" s="3" t="inlineStr">
        <x:is>
          <x:t xml:space="preserve">本月全勤扣除(元)</x:t>
        </x:is>
      </x:c>
      <x:c r="E3" s="5">
        <x:f>ROUND($B$3-$B$10,2)</x:f>
        <x:v>0</x:v>
      </x:c>
    </x:row>
    <x:row r="4">
      <x:c r="A4" s="3" t="inlineStr">
        <x:is>
          <x:t xml:space="preserve">應上班時數(小時)</x:t>
        </x:is>
      </x:c>
      <x:c r="B4" s="6" t="n">
        <x:v>184</x:v>
      </x:c>
    </x:row>
    <x:row r="5">
      <x:c r="A5" s="3" t="inlineStr">
        <x:is>
          <x:t xml:space="preserve">上班時間(基準)</x:t>
        </x:is>
      </x:c>
      <x:c r="B5" s="7" t="n">
        <x:v>0.3541666666666667</x:v>
      </x:c>
    </x:row>
    <x:row r="6">
      <x:c r="A6" s="3" t="inlineStr">
        <x:is>
          <x:t xml:space="preserve">遲到免計(分鐘)</x:t>
        </x:is>
      </x:c>
      <x:c r="B6" s="8" t="n">
        <x:v>30</x:v>
      </x:c>
    </x:row>
    <x:row r="7">
      <x:c r="A7" s="3" t="inlineStr">
        <x:is>
          <x:t xml:space="preserve">合計有效遲到(分鐘)</x:t>
        </x:is>
      </x:c>
      <x:c r="B7" s="9">
        <x:f>SUM($D$12:$D$42)</x:f>
        <x:v>0</x:v>
      </x:c>
    </x:row>
    <x:row r="8">
      <x:c r="A8" s="3" t="inlineStr">
        <x:is>
          <x:t xml:space="preserve">合計有效遲到(小時)</x:t>
        </x:is>
      </x:c>
      <x:c r="B8" s="10">
        <x:f>$B$7/60</x:f>
        <x:v>0</x:v>
      </x:c>
    </x:row>
    <x:row r="9">
      <x:c r="A9" s="3" t="inlineStr">
        <x:is>
          <x:t xml:space="preserve">實際上班時數(小時)</x:t>
        </x:is>
      </x:c>
      <x:c r="B9" s="10">
        <x:f>MAX(0,$B$4-$B$8)</x:f>
        <x:v>184</x:v>
      </x:c>
    </x:row>
    <x:row r="10">
      <x:c r="A10" s="3" t="inlineStr">
        <x:is>
          <x:t xml:space="preserve">本月全勤實領(元)</x:t>
        </x:is>
      </x:c>
      <x:c r="B10" s="5">
        <x:f>ROUND($B$3*($B$9/$B$4),2)</x:f>
        <x:v>1000</x:v>
      </x:c>
    </x:row>
    <x:row r="11" ht="20" customHeight="1">
      <x:c r="A11" s="11" t="inlineStr">
        <x:is>
          <x:t xml:space="preserve">日</x:t>
        </x:is>
      </x:c>
      <x:c r="B11" s="11" t="inlineStr">
        <x:is>
          <x:t xml:space="preserve">上班打卡</x:t>
        </x:is>
      </x:c>
      <x:c r="C11" s="11" t="inlineStr">
        <x:is>
          <x:t xml:space="preserve">原始遲到(分)</x:t>
        </x:is>
      </x:c>
      <x:c r="D11" s="11" t="inlineStr">
        <x:is>
          <x:t xml:space="preserve">計入遲到(分)</x:t>
        </x:is>
      </x:c>
      <x:c r="E11" s="11" t="inlineStr">
        <x:is>
          <x:t xml:space="preserve">計入遲到(時)</x:t>
        </x:is>
      </x:c>
      <x:c r="F11" s="11" t="inlineStr">
        <x:is>
          <x:t xml:space="preserve">備註</x:t>
        </x:is>
      </x:c>
    </x:row>
    <x:row r="12" ht="18" customHeight="1">
      <x:c r="A12" s="12" t="n">
        <x:v>1</x:v>
      </x:c>
      <x:c r="B12" s="13" t="n"/>
      <x:c r="C12" s="14">
        <x:f>IF($B12="","",MAX(0,INT((($B12-$B$5)*1440)+0.000001)))</x:f>
      </x:c>
      <x:c r="D12" s="14">
        <x:f>IF($B12="","",MAX(0,$C12-$B$6))</x:f>
      </x:c>
      <x:c r="E12" s="15">
        <x:f>IF($B12="","",$D12/60)</x:f>
      </x:c>
      <x:c r="F12" s="16" t="inlineStr">
        <x:is>
          <x:t xml:space="preserve"/>
        </x:is>
      </x:c>
    </x:row>
    <x:row r="13" ht="18" customHeight="1">
      <x:c r="A13" s="12" t="n">
        <x:v>2</x:v>
      </x:c>
      <x:c r="B13" s="13" t="n"/>
      <x:c r="C13" s="14">
        <x:f>IF($B13="","",MAX(0,INT((($B13-$B$5)*1440)+0.000001)))</x:f>
      </x:c>
      <x:c r="D13" s="14">
        <x:f>IF($B13="","",MAX(0,$C13-$B$6))</x:f>
      </x:c>
      <x:c r="E13" s="15">
        <x:f>IF($B13="","",$D13/60)</x:f>
      </x:c>
      <x:c r="F13" s="16" t="inlineStr">
        <x:is>
          <x:t xml:space="preserve"/>
        </x:is>
      </x:c>
    </x:row>
    <x:row r="14" ht="18" customHeight="1">
      <x:c r="A14" s="12" t="n">
        <x:v>3</x:v>
      </x:c>
      <x:c r="B14" s="13" t="n"/>
      <x:c r="C14" s="14">
        <x:f>IF($B14="","",MAX(0,INT((($B14-$B$5)*1440)+0.000001)))</x:f>
      </x:c>
      <x:c r="D14" s="14">
        <x:f>IF($B14="","",MAX(0,$C14-$B$6))</x:f>
      </x:c>
      <x:c r="E14" s="15">
        <x:f>IF($B14="","",$D14/60)</x:f>
      </x:c>
      <x:c r="F14" s="16" t="inlineStr">
        <x:is>
          <x:t xml:space="preserve"/>
        </x:is>
      </x:c>
    </x:row>
    <x:row r="15" ht="18" customHeight="1">
      <x:c r="A15" s="12" t="n">
        <x:v>4</x:v>
      </x:c>
      <x:c r="B15" s="13" t="n"/>
      <x:c r="C15" s="14">
        <x:f>IF($B15="","",MAX(0,INT((($B15-$B$5)*1440)+0.000001)))</x:f>
      </x:c>
      <x:c r="D15" s="14">
        <x:f>IF($B15="","",MAX(0,$C15-$B$6))</x:f>
      </x:c>
      <x:c r="E15" s="15">
        <x:f>IF($B15="","",$D15/60)</x:f>
      </x:c>
      <x:c r="F15" s="16" t="inlineStr">
        <x:is>
          <x:t xml:space="preserve"/>
        </x:is>
      </x:c>
    </x:row>
    <x:row r="16" ht="18" customHeight="1">
      <x:c r="A16" s="12" t="n">
        <x:v>5</x:v>
      </x:c>
      <x:c r="B16" s="13" t="n"/>
      <x:c r="C16" s="14">
        <x:f>IF($B16="","",MAX(0,INT((($B16-$B$5)*1440)+0.000001)))</x:f>
      </x:c>
      <x:c r="D16" s="14">
        <x:f>IF($B16="","",MAX(0,$C16-$B$6))</x:f>
      </x:c>
      <x:c r="E16" s="15">
        <x:f>IF($B16="","",$D16/60)</x:f>
      </x:c>
      <x:c r="F16" s="16" t="inlineStr">
        <x:is>
          <x:t xml:space="preserve"/>
        </x:is>
      </x:c>
    </x:row>
    <x:row r="17" ht="18" customHeight="1">
      <x:c r="A17" s="12" t="n">
        <x:v>6</x:v>
      </x:c>
      <x:c r="B17" s="13" t="n"/>
      <x:c r="C17" s="14">
        <x:f>IF($B17="","",MAX(0,INT((($B17-$B$5)*1440)+0.000001)))</x:f>
      </x:c>
      <x:c r="D17" s="14">
        <x:f>IF($B17="","",MAX(0,$C17-$B$6))</x:f>
      </x:c>
      <x:c r="E17" s="15">
        <x:f>IF($B17="","",$D17/60)</x:f>
      </x:c>
      <x:c r="F17" s="16" t="inlineStr">
        <x:is>
          <x:t xml:space="preserve"/>
        </x:is>
      </x:c>
    </x:row>
    <x:row r="18" ht="18" customHeight="1">
      <x:c r="A18" s="12" t="n">
        <x:v>7</x:v>
      </x:c>
      <x:c r="B18" s="13" t="n"/>
      <x:c r="C18" s="14">
        <x:f>IF($B18="","",MAX(0,INT((($B18-$B$5)*1440)+0.000001)))</x:f>
      </x:c>
      <x:c r="D18" s="14">
        <x:f>IF($B18="","",MAX(0,$C18-$B$6))</x:f>
      </x:c>
      <x:c r="E18" s="15">
        <x:f>IF($B18="","",$D18/60)</x:f>
      </x:c>
      <x:c r="F18" s="16" t="inlineStr">
        <x:is>
          <x:t xml:space="preserve"/>
        </x:is>
      </x:c>
    </x:row>
    <x:row r="19" ht="18" customHeight="1">
      <x:c r="A19" s="12" t="n">
        <x:v>8</x:v>
      </x:c>
      <x:c r="B19" s="13" t="n"/>
      <x:c r="C19" s="14">
        <x:f>IF($B19="","",MAX(0,INT((($B19-$B$5)*1440)+0.000001)))</x:f>
      </x:c>
      <x:c r="D19" s="14">
        <x:f>IF($B19="","",MAX(0,$C19-$B$6))</x:f>
      </x:c>
      <x:c r="E19" s="15">
        <x:f>IF($B19="","",$D19/60)</x:f>
      </x:c>
      <x:c r="F19" s="16" t="inlineStr">
        <x:is>
          <x:t xml:space="preserve"/>
        </x:is>
      </x:c>
    </x:row>
    <x:row r="20" ht="18" customHeight="1">
      <x:c r="A20" s="12" t="n">
        <x:v>9</x:v>
      </x:c>
      <x:c r="B20" s="13" t="n"/>
      <x:c r="C20" s="14">
        <x:f>IF($B20="","",MAX(0,INT((($B20-$B$5)*1440)+0.000001)))</x:f>
      </x:c>
      <x:c r="D20" s="14">
        <x:f>IF($B20="","",MAX(0,$C20-$B$6))</x:f>
      </x:c>
      <x:c r="E20" s="15">
        <x:f>IF($B20="","",$D20/60)</x:f>
      </x:c>
      <x:c r="F20" s="16" t="inlineStr">
        <x:is>
          <x:t xml:space="preserve"/>
        </x:is>
      </x:c>
    </x:row>
    <x:row r="21" ht="18" customHeight="1">
      <x:c r="A21" s="12" t="n">
        <x:v>10</x:v>
      </x:c>
      <x:c r="B21" s="13" t="n"/>
      <x:c r="C21" s="14">
        <x:f>IF($B21="","",MAX(0,INT((($B21-$B$5)*1440)+0.000001)))</x:f>
      </x:c>
      <x:c r="D21" s="14">
        <x:f>IF($B21="","",MAX(0,$C21-$B$6))</x:f>
      </x:c>
      <x:c r="E21" s="15">
        <x:f>IF($B21="","",$D21/60)</x:f>
      </x:c>
      <x:c r="F21" s="16" t="inlineStr">
        <x:is>
          <x:t xml:space="preserve"/>
        </x:is>
      </x:c>
    </x:row>
    <x:row r="22" ht="18" customHeight="1">
      <x:c r="A22" s="12" t="n">
        <x:v>11</x:v>
      </x:c>
      <x:c r="B22" s="13" t="n"/>
      <x:c r="C22" s="14">
        <x:f>IF($B22="","",MAX(0,INT((($B22-$B$5)*1440)+0.000001)))</x:f>
      </x:c>
      <x:c r="D22" s="14">
        <x:f>IF($B22="","",MAX(0,$C22-$B$6))</x:f>
      </x:c>
      <x:c r="E22" s="15">
        <x:f>IF($B22="","",$D22/60)</x:f>
      </x:c>
      <x:c r="F22" s="16" t="inlineStr">
        <x:is>
          <x:t xml:space="preserve"/>
        </x:is>
      </x:c>
    </x:row>
    <x:row r="23" ht="18" customHeight="1">
      <x:c r="A23" s="12" t="n">
        <x:v>12</x:v>
      </x:c>
      <x:c r="B23" s="13" t="n"/>
      <x:c r="C23" s="14">
        <x:f>IF($B23="","",MAX(0,INT((($B23-$B$5)*1440)+0.000001)))</x:f>
      </x:c>
      <x:c r="D23" s="14">
        <x:f>IF($B23="","",MAX(0,$C23-$B$6))</x:f>
      </x:c>
      <x:c r="E23" s="15">
        <x:f>IF($B23="","",$D23/60)</x:f>
      </x:c>
      <x:c r="F23" s="16" t="inlineStr">
        <x:is>
          <x:t xml:space="preserve"/>
        </x:is>
      </x:c>
    </x:row>
    <x:row r="24" ht="18" customHeight="1">
      <x:c r="A24" s="12" t="n">
        <x:v>13</x:v>
      </x:c>
      <x:c r="B24" s="13" t="n"/>
      <x:c r="C24" s="14">
        <x:f>IF($B24="","",MAX(0,INT((($B24-$B$5)*1440)+0.000001)))</x:f>
      </x:c>
      <x:c r="D24" s="14">
        <x:f>IF($B24="","",MAX(0,$C24-$B$6))</x:f>
      </x:c>
      <x:c r="E24" s="15">
        <x:f>IF($B24="","",$D24/60)</x:f>
      </x:c>
      <x:c r="F24" s="16" t="inlineStr">
        <x:is>
          <x:t xml:space="preserve"/>
        </x:is>
      </x:c>
    </x:row>
    <x:row r="25" ht="18" customHeight="1">
      <x:c r="A25" s="12" t="n">
        <x:v>14</x:v>
      </x:c>
      <x:c r="B25" s="13" t="n"/>
      <x:c r="C25" s="14">
        <x:f>IF($B25="","",MAX(0,INT((($B25-$B$5)*1440)+0.000001)))</x:f>
      </x:c>
      <x:c r="D25" s="14">
        <x:f>IF($B25="","",MAX(0,$C25-$B$6))</x:f>
      </x:c>
      <x:c r="E25" s="15">
        <x:f>IF($B25="","",$D25/60)</x:f>
      </x:c>
      <x:c r="F25" s="16" t="inlineStr">
        <x:is>
          <x:t xml:space="preserve"/>
        </x:is>
      </x:c>
    </x:row>
    <x:row r="26" ht="18" customHeight="1">
      <x:c r="A26" s="12" t="n">
        <x:v>15</x:v>
      </x:c>
      <x:c r="B26" s="13" t="n"/>
      <x:c r="C26" s="14">
        <x:f>IF($B26="","",MAX(0,INT((($B26-$B$5)*1440)+0.000001)))</x:f>
      </x:c>
      <x:c r="D26" s="14">
        <x:f>IF($B26="","",MAX(0,$C26-$B$6))</x:f>
      </x:c>
      <x:c r="E26" s="15">
        <x:f>IF($B26="","",$D26/60)</x:f>
      </x:c>
      <x:c r="F26" s="16" t="inlineStr">
        <x:is>
          <x:t xml:space="preserve"/>
        </x:is>
      </x:c>
    </x:row>
    <x:row r="27" ht="18" customHeight="1">
      <x:c r="A27" s="12" t="n">
        <x:v>16</x:v>
      </x:c>
      <x:c r="B27" s="13" t="n"/>
      <x:c r="C27" s="14">
        <x:f>IF($B27="","",MAX(0,INT((($B27-$B$5)*1440)+0.000001)))</x:f>
      </x:c>
      <x:c r="D27" s="14">
        <x:f>IF($B27="","",MAX(0,$C27-$B$6))</x:f>
      </x:c>
      <x:c r="E27" s="15">
        <x:f>IF($B27="","",$D27/60)</x:f>
      </x:c>
      <x:c r="F27" s="16" t="inlineStr">
        <x:is>
          <x:t xml:space="preserve"/>
        </x:is>
      </x:c>
    </x:row>
    <x:row r="28" ht="18" customHeight="1">
      <x:c r="A28" s="12" t="n">
        <x:v>17</x:v>
      </x:c>
      <x:c r="B28" s="13" t="n"/>
      <x:c r="C28" s="14">
        <x:f>IF($B28="","",MAX(0,INT((($B28-$B$5)*1440)+0.000001)))</x:f>
      </x:c>
      <x:c r="D28" s="14">
        <x:f>IF($B28="","",MAX(0,$C28-$B$6))</x:f>
      </x:c>
      <x:c r="E28" s="15">
        <x:f>IF($B28="","",$D28/60)</x:f>
      </x:c>
      <x:c r="F28" s="16" t="inlineStr">
        <x:is>
          <x:t xml:space="preserve"/>
        </x:is>
      </x:c>
    </x:row>
    <x:row r="29" ht="18" customHeight="1">
      <x:c r="A29" s="12" t="n">
        <x:v>18</x:v>
      </x:c>
      <x:c r="B29" s="13" t="n"/>
      <x:c r="C29" s="14">
        <x:f>IF($B29="","",MAX(0,INT((($B29-$B$5)*1440)+0.000001)))</x:f>
      </x:c>
      <x:c r="D29" s="14">
        <x:f>IF($B29="","",MAX(0,$C29-$B$6))</x:f>
      </x:c>
      <x:c r="E29" s="15">
        <x:f>IF($B29="","",$D29/60)</x:f>
      </x:c>
      <x:c r="F29" s="16" t="inlineStr">
        <x:is>
          <x:t xml:space="preserve"/>
        </x:is>
      </x:c>
    </x:row>
    <x:row r="30" ht="18" customHeight="1">
      <x:c r="A30" s="12" t="n">
        <x:v>19</x:v>
      </x:c>
      <x:c r="B30" s="13" t="n"/>
      <x:c r="C30" s="14">
        <x:f>IF($B30="","",MAX(0,INT((($B30-$B$5)*1440)+0.000001)))</x:f>
      </x:c>
      <x:c r="D30" s="14">
        <x:f>IF($B30="","",MAX(0,$C30-$B$6))</x:f>
      </x:c>
      <x:c r="E30" s="15">
        <x:f>IF($B30="","",$D30/60)</x:f>
      </x:c>
      <x:c r="F30" s="16" t="inlineStr">
        <x:is>
          <x:t xml:space="preserve"/>
        </x:is>
      </x:c>
    </x:row>
    <x:row r="31" ht="18" customHeight="1">
      <x:c r="A31" s="12" t="n">
        <x:v>20</x:v>
      </x:c>
      <x:c r="B31" s="13" t="n"/>
      <x:c r="C31" s="14">
        <x:f>IF($B31="","",MAX(0,INT((($B31-$B$5)*1440)+0.000001)))</x:f>
      </x:c>
      <x:c r="D31" s="14">
        <x:f>IF($B31="","",MAX(0,$C31-$B$6))</x:f>
      </x:c>
      <x:c r="E31" s="15">
        <x:f>IF($B31="","",$D31/60)</x:f>
      </x:c>
      <x:c r="F31" s="16" t="inlineStr">
        <x:is>
          <x:t xml:space="preserve"/>
        </x:is>
      </x:c>
    </x:row>
    <x:row r="32" ht="18" customHeight="1">
      <x:c r="A32" s="12" t="n">
        <x:v>21</x:v>
      </x:c>
      <x:c r="B32" s="13" t="n"/>
      <x:c r="C32" s="14">
        <x:f>IF($B32="","",MAX(0,INT((($B32-$B$5)*1440)+0.000001)))</x:f>
      </x:c>
      <x:c r="D32" s="14">
        <x:f>IF($B32="","",MAX(0,$C32-$B$6))</x:f>
      </x:c>
      <x:c r="E32" s="15">
        <x:f>IF($B32="","",$D32/60)</x:f>
      </x:c>
      <x:c r="F32" s="16" t="inlineStr">
        <x:is>
          <x:t xml:space="preserve"/>
        </x:is>
      </x:c>
    </x:row>
    <x:row r="33" ht="18" customHeight="1">
      <x:c r="A33" s="12" t="n">
        <x:v>22</x:v>
      </x:c>
      <x:c r="B33" s="13" t="n"/>
      <x:c r="C33" s="14">
        <x:f>IF($B33="","",MAX(0,INT((($B33-$B$5)*1440)+0.000001)))</x:f>
      </x:c>
      <x:c r="D33" s="14">
        <x:f>IF($B33="","",MAX(0,$C33-$B$6))</x:f>
      </x:c>
      <x:c r="E33" s="15">
        <x:f>IF($B33="","",$D33/60)</x:f>
      </x:c>
      <x:c r="F33" s="16" t="inlineStr">
        <x:is>
          <x:t xml:space="preserve"/>
        </x:is>
      </x:c>
    </x:row>
    <x:row r="34" ht="18" customHeight="1">
      <x:c r="A34" s="12" t="n">
        <x:v>23</x:v>
      </x:c>
      <x:c r="B34" s="13" t="n"/>
      <x:c r="C34" s="14">
        <x:f>IF($B34="","",MAX(0,INT((($B34-$B$5)*1440)+0.000001)))</x:f>
      </x:c>
      <x:c r="D34" s="14">
        <x:f>IF($B34="","",MAX(0,$C34-$B$6))</x:f>
      </x:c>
      <x:c r="E34" s="15">
        <x:f>IF($B34="","",$D34/60)</x:f>
      </x:c>
      <x:c r="F34" s="16" t="inlineStr">
        <x:is>
          <x:t xml:space="preserve"/>
        </x:is>
      </x:c>
    </x:row>
    <x:row r="35" ht="18" customHeight="1">
      <x:c r="A35" s="12" t="n">
        <x:v>24</x:v>
      </x:c>
      <x:c r="B35" s="13" t="n"/>
      <x:c r="C35" s="14">
        <x:f>IF($B35="","",MAX(0,INT((($B35-$B$5)*1440)+0.000001)))</x:f>
      </x:c>
      <x:c r="D35" s="14">
        <x:f>IF($B35="","",MAX(0,$C35-$B$6))</x:f>
      </x:c>
      <x:c r="E35" s="15">
        <x:f>IF($B35="","",$D35/60)</x:f>
      </x:c>
      <x:c r="F35" s="16" t="inlineStr">
        <x:is>
          <x:t xml:space="preserve"/>
        </x:is>
      </x:c>
    </x:row>
    <x:row r="36" ht="18" customHeight="1">
      <x:c r="A36" s="12" t="n">
        <x:v>25</x:v>
      </x:c>
      <x:c r="B36" s="13" t="n"/>
      <x:c r="C36" s="14">
        <x:f>IF($B36="","",MAX(0,INT((($B36-$B$5)*1440)+0.000001)))</x:f>
      </x:c>
      <x:c r="D36" s="14">
        <x:f>IF($B36="","",MAX(0,$C36-$B$6))</x:f>
      </x:c>
      <x:c r="E36" s="15">
        <x:f>IF($B36="","",$D36/60)</x:f>
      </x:c>
      <x:c r="F36" s="16" t="inlineStr">
        <x:is>
          <x:t xml:space="preserve"/>
        </x:is>
      </x:c>
    </x:row>
    <x:row r="37" ht="18" customHeight="1">
      <x:c r="A37" s="12" t="n">
        <x:v>26</x:v>
      </x:c>
      <x:c r="B37" s="13" t="n"/>
      <x:c r="C37" s="14">
        <x:f>IF($B37="","",MAX(0,INT((($B37-$B$5)*1440)+0.000001)))</x:f>
      </x:c>
      <x:c r="D37" s="14">
        <x:f>IF($B37="","",MAX(0,$C37-$B$6))</x:f>
      </x:c>
      <x:c r="E37" s="15">
        <x:f>IF($B37="","",$D37/60)</x:f>
      </x:c>
      <x:c r="F37" s="16" t="inlineStr">
        <x:is>
          <x:t xml:space="preserve"/>
        </x:is>
      </x:c>
    </x:row>
    <x:row r="38" ht="18" customHeight="1">
      <x:c r="A38" s="12" t="n">
        <x:v>27</x:v>
      </x:c>
      <x:c r="B38" s="13" t="n"/>
      <x:c r="C38" s="14">
        <x:f>IF($B38="","",MAX(0,INT((($B38-$B$5)*1440)+0.000001)))</x:f>
      </x:c>
      <x:c r="D38" s="14">
        <x:f>IF($B38="","",MAX(0,$C38-$B$6))</x:f>
      </x:c>
      <x:c r="E38" s="15">
        <x:f>IF($B38="","",$D38/60)</x:f>
      </x:c>
      <x:c r="F38" s="16" t="inlineStr">
        <x:is>
          <x:t xml:space="preserve"/>
        </x:is>
      </x:c>
    </x:row>
    <x:row r="39" ht="18" customHeight="1">
      <x:c r="A39" s="12" t="n">
        <x:v>28</x:v>
      </x:c>
      <x:c r="B39" s="13" t="n"/>
      <x:c r="C39" s="14">
        <x:f>IF($B39="","",MAX(0,INT((($B39-$B$5)*1440)+0.000001)))</x:f>
      </x:c>
      <x:c r="D39" s="14">
        <x:f>IF($B39="","",MAX(0,$C39-$B$6))</x:f>
      </x:c>
      <x:c r="E39" s="15">
        <x:f>IF($B39="","",$D39/60)</x:f>
      </x:c>
      <x:c r="F39" s="16" t="inlineStr">
        <x:is>
          <x:t xml:space="preserve"/>
        </x:is>
      </x:c>
    </x:row>
    <x:row r="40" ht="18" customHeight="1">
      <x:c r="A40" s="12" t="n">
        <x:v>29</x:v>
      </x:c>
      <x:c r="B40" s="13" t="n"/>
      <x:c r="C40" s="14">
        <x:f>IF($B40="","",MAX(0,INT((($B40-$B$5)*1440)+0.000001)))</x:f>
      </x:c>
      <x:c r="D40" s="14">
        <x:f>IF($B40="","",MAX(0,$C40-$B$6))</x:f>
      </x:c>
      <x:c r="E40" s="15">
        <x:f>IF($B40="","",$D40/60)</x:f>
      </x:c>
      <x:c r="F40" s="16" t="inlineStr">
        <x:is>
          <x:t xml:space="preserve"/>
        </x:is>
      </x:c>
    </x:row>
    <x:row r="41" ht="18" customHeight="1">
      <x:c r="A41" s="12" t="n">
        <x:v>30</x:v>
      </x:c>
      <x:c r="B41" s="13" t="n"/>
      <x:c r="C41" s="14">
        <x:f>IF($B41="","",MAX(0,INT((($B41-$B$5)*1440)+0.000001)))</x:f>
      </x:c>
      <x:c r="D41" s="14">
        <x:f>IF($B41="","",MAX(0,$C41-$B$6))</x:f>
      </x:c>
      <x:c r="E41" s="15">
        <x:f>IF($B41="","",$D41/60)</x:f>
      </x:c>
      <x:c r="F41" s="16" t="inlineStr">
        <x:is>
          <x:t xml:space="preserve"/>
        </x:is>
      </x:c>
    </x:row>
    <x:row r="42" ht="18" customHeight="1">
      <x:c r="A42" s="12" t="n">
        <x:v>31</x:v>
      </x:c>
      <x:c r="B42" s="13" t="n"/>
      <x:c r="C42" s="14">
        <x:f>IF($B42="","",MAX(0,INT((($B42-$B$5)*1440)+0.000001)))</x:f>
      </x:c>
      <x:c r="D42" s="14">
        <x:f>IF($B42="","",MAX(0,$C42-$B$6))</x:f>
      </x:c>
      <x:c r="E42" s="15">
        <x:f>IF($B42="","",$D42/60)</x:f>
      </x:c>
      <x:c r="F42" s="16" t="inlineStr">
        <x:is>
          <x:t xml:space="preserve"/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customWidth="1"/>
    <x:col min="2" max="2" width="16" customWidth="1"/>
    <x:col min="3" max="3" width="14" customWidth="1"/>
    <x:col min="4" max="4" width="18" customWidth="1"/>
    <x:col min="5" max="5" width="16" customWidth="1"/>
    <x:col min="6" max="6" width="22" customWidth="1"/>
  </x:cols>
  <x:sheetData>
    <x:row r="1" ht="26" customHeight="1">
      <x:c r="A1" s="1" t="inlineStr">
        <x:is>
          <x:t xml:space="preserve">4月｜全勤獎金按實際上班時數比例計算</x:t>
        </x:is>
      </x:c>
    </x:row>
    <x:row r="2" ht="34" customHeight="1">
      <x:c r="A2" s="2" t="inlineStr">
        <x:is>
          <x:t xml:space="preserve">說明：打卡時間輸入在「上班打卡」欄。遲到先以(打卡-基準)算分鐘；前「免計分鐘」不扣，從第31分鐘起才開始計入。</x:t>
        </x:is>
      </x:c>
    </x:row>
    <x:row r="3">
      <x:c r="A3" s="3" t="inlineStr">
        <x:is>
          <x:t xml:space="preserve">全勤獎金(元)</x:t>
        </x:is>
      </x:c>
      <x:c r="B3" s="4" t="n">
        <x:v>1000</x:v>
      </x:c>
      <x:c r="D3" s="3" t="inlineStr">
        <x:is>
          <x:t xml:space="preserve">本月全勤扣除(元)</x:t>
        </x:is>
      </x:c>
      <x:c r="E3" s="5">
        <x:f>ROUND($B$3-$B$10,2)</x:f>
        <x:v>0</x:v>
      </x:c>
    </x:row>
    <x:row r="4">
      <x:c r="A4" s="3" t="inlineStr">
        <x:is>
          <x:t xml:space="preserve">應上班時數(小時)</x:t>
        </x:is>
      </x:c>
      <x:c r="B4" s="6" t="n">
        <x:v>184</x:v>
      </x:c>
    </x:row>
    <x:row r="5">
      <x:c r="A5" s="3" t="inlineStr">
        <x:is>
          <x:t xml:space="preserve">上班時間(基準)</x:t>
        </x:is>
      </x:c>
      <x:c r="B5" s="7" t="n">
        <x:v>0.3541666666666667</x:v>
      </x:c>
    </x:row>
    <x:row r="6">
      <x:c r="A6" s="3" t="inlineStr">
        <x:is>
          <x:t xml:space="preserve">遲到免計(分鐘)</x:t>
        </x:is>
      </x:c>
      <x:c r="B6" s="8" t="n">
        <x:v>30</x:v>
      </x:c>
    </x:row>
    <x:row r="7">
      <x:c r="A7" s="3" t="inlineStr">
        <x:is>
          <x:t xml:space="preserve">合計有效遲到(分鐘)</x:t>
        </x:is>
      </x:c>
      <x:c r="B7" s="9">
        <x:f>SUM($D$12:$D$42)</x:f>
        <x:v>0</x:v>
      </x:c>
    </x:row>
    <x:row r="8">
      <x:c r="A8" s="3" t="inlineStr">
        <x:is>
          <x:t xml:space="preserve">合計有效遲到(小時)</x:t>
        </x:is>
      </x:c>
      <x:c r="B8" s="10">
        <x:f>$B$7/60</x:f>
        <x:v>0</x:v>
      </x:c>
    </x:row>
    <x:row r="9">
      <x:c r="A9" s="3" t="inlineStr">
        <x:is>
          <x:t xml:space="preserve">實際上班時數(小時)</x:t>
        </x:is>
      </x:c>
      <x:c r="B9" s="10">
        <x:f>MAX(0,$B$4-$B$8)</x:f>
        <x:v>184</x:v>
      </x:c>
    </x:row>
    <x:row r="10">
      <x:c r="A10" s="3" t="inlineStr">
        <x:is>
          <x:t xml:space="preserve">本月全勤實領(元)</x:t>
        </x:is>
      </x:c>
      <x:c r="B10" s="5">
        <x:f>ROUND($B$3*($B$9/$B$4),2)</x:f>
        <x:v>1000</x:v>
      </x:c>
    </x:row>
    <x:row r="11" ht="20" customHeight="1">
      <x:c r="A11" s="11" t="inlineStr">
        <x:is>
          <x:t xml:space="preserve">日</x:t>
        </x:is>
      </x:c>
      <x:c r="B11" s="11" t="inlineStr">
        <x:is>
          <x:t xml:space="preserve">上班打卡</x:t>
        </x:is>
      </x:c>
      <x:c r="C11" s="11" t="inlineStr">
        <x:is>
          <x:t xml:space="preserve">原始遲到(分)</x:t>
        </x:is>
      </x:c>
      <x:c r="D11" s="11" t="inlineStr">
        <x:is>
          <x:t xml:space="preserve">計入遲到(分)</x:t>
        </x:is>
      </x:c>
      <x:c r="E11" s="11" t="inlineStr">
        <x:is>
          <x:t xml:space="preserve">計入遲到(時)</x:t>
        </x:is>
      </x:c>
      <x:c r="F11" s="11" t="inlineStr">
        <x:is>
          <x:t xml:space="preserve">備註</x:t>
        </x:is>
      </x:c>
    </x:row>
    <x:row r="12" ht="18" customHeight="1">
      <x:c r="A12" s="12" t="n">
        <x:v>1</x:v>
      </x:c>
      <x:c r="B12" s="13" t="n"/>
      <x:c r="C12" s="14">
        <x:f>IF($B12="","",MAX(0,INT((($B12-$B$5)*1440)+0.000001)))</x:f>
      </x:c>
      <x:c r="D12" s="14">
        <x:f>IF($B12="","",MAX(0,$C12-$B$6))</x:f>
      </x:c>
      <x:c r="E12" s="15">
        <x:f>IF($B12="","",$D12/60)</x:f>
      </x:c>
      <x:c r="F12" s="16" t="inlineStr">
        <x:is>
          <x:t xml:space="preserve"/>
        </x:is>
      </x:c>
    </x:row>
    <x:row r="13" ht="18" customHeight="1">
      <x:c r="A13" s="12" t="n">
        <x:v>2</x:v>
      </x:c>
      <x:c r="B13" s="13" t="n"/>
      <x:c r="C13" s="14">
        <x:f>IF($B13="","",MAX(0,INT((($B13-$B$5)*1440)+0.000001)))</x:f>
      </x:c>
      <x:c r="D13" s="14">
        <x:f>IF($B13="","",MAX(0,$C13-$B$6))</x:f>
      </x:c>
      <x:c r="E13" s="15">
        <x:f>IF($B13="","",$D13/60)</x:f>
      </x:c>
      <x:c r="F13" s="16" t="inlineStr">
        <x:is>
          <x:t xml:space="preserve"/>
        </x:is>
      </x:c>
    </x:row>
    <x:row r="14" ht="18" customHeight="1">
      <x:c r="A14" s="12" t="n">
        <x:v>3</x:v>
      </x:c>
      <x:c r="B14" s="13" t="n"/>
      <x:c r="C14" s="14">
        <x:f>IF($B14="","",MAX(0,INT((($B14-$B$5)*1440)+0.000001)))</x:f>
      </x:c>
      <x:c r="D14" s="14">
        <x:f>IF($B14="","",MAX(0,$C14-$B$6))</x:f>
      </x:c>
      <x:c r="E14" s="15">
        <x:f>IF($B14="","",$D14/60)</x:f>
      </x:c>
      <x:c r="F14" s="16" t="inlineStr">
        <x:is>
          <x:t xml:space="preserve"/>
        </x:is>
      </x:c>
    </x:row>
    <x:row r="15" ht="18" customHeight="1">
      <x:c r="A15" s="12" t="n">
        <x:v>4</x:v>
      </x:c>
      <x:c r="B15" s="13" t="n"/>
      <x:c r="C15" s="14">
        <x:f>IF($B15="","",MAX(0,INT((($B15-$B$5)*1440)+0.000001)))</x:f>
      </x:c>
      <x:c r="D15" s="14">
        <x:f>IF($B15="","",MAX(0,$C15-$B$6))</x:f>
      </x:c>
      <x:c r="E15" s="15">
        <x:f>IF($B15="","",$D15/60)</x:f>
      </x:c>
      <x:c r="F15" s="16" t="inlineStr">
        <x:is>
          <x:t xml:space="preserve"/>
        </x:is>
      </x:c>
    </x:row>
    <x:row r="16" ht="18" customHeight="1">
      <x:c r="A16" s="12" t="n">
        <x:v>5</x:v>
      </x:c>
      <x:c r="B16" s="13" t="n"/>
      <x:c r="C16" s="14">
        <x:f>IF($B16="","",MAX(0,INT((($B16-$B$5)*1440)+0.000001)))</x:f>
      </x:c>
      <x:c r="D16" s="14">
        <x:f>IF($B16="","",MAX(0,$C16-$B$6))</x:f>
      </x:c>
      <x:c r="E16" s="15">
        <x:f>IF($B16="","",$D16/60)</x:f>
      </x:c>
      <x:c r="F16" s="16" t="inlineStr">
        <x:is>
          <x:t xml:space="preserve"/>
        </x:is>
      </x:c>
    </x:row>
    <x:row r="17" ht="18" customHeight="1">
      <x:c r="A17" s="12" t="n">
        <x:v>6</x:v>
      </x:c>
      <x:c r="B17" s="13" t="n"/>
      <x:c r="C17" s="14">
        <x:f>IF($B17="","",MAX(0,INT((($B17-$B$5)*1440)+0.000001)))</x:f>
      </x:c>
      <x:c r="D17" s="14">
        <x:f>IF($B17="","",MAX(0,$C17-$B$6))</x:f>
      </x:c>
      <x:c r="E17" s="15">
        <x:f>IF($B17="","",$D17/60)</x:f>
      </x:c>
      <x:c r="F17" s="16" t="inlineStr">
        <x:is>
          <x:t xml:space="preserve"/>
        </x:is>
      </x:c>
    </x:row>
    <x:row r="18" ht="18" customHeight="1">
      <x:c r="A18" s="12" t="n">
        <x:v>7</x:v>
      </x:c>
      <x:c r="B18" s="13" t="n"/>
      <x:c r="C18" s="14">
        <x:f>IF($B18="","",MAX(0,INT((($B18-$B$5)*1440)+0.000001)))</x:f>
      </x:c>
      <x:c r="D18" s="14">
        <x:f>IF($B18="","",MAX(0,$C18-$B$6))</x:f>
      </x:c>
      <x:c r="E18" s="15">
        <x:f>IF($B18="","",$D18/60)</x:f>
      </x:c>
      <x:c r="F18" s="16" t="inlineStr">
        <x:is>
          <x:t xml:space="preserve"/>
        </x:is>
      </x:c>
    </x:row>
    <x:row r="19" ht="18" customHeight="1">
      <x:c r="A19" s="12" t="n">
        <x:v>8</x:v>
      </x:c>
      <x:c r="B19" s="13" t="n"/>
      <x:c r="C19" s="14">
        <x:f>IF($B19="","",MAX(0,INT((($B19-$B$5)*1440)+0.000001)))</x:f>
      </x:c>
      <x:c r="D19" s="14">
        <x:f>IF($B19="","",MAX(0,$C19-$B$6))</x:f>
      </x:c>
      <x:c r="E19" s="15">
        <x:f>IF($B19="","",$D19/60)</x:f>
      </x:c>
      <x:c r="F19" s="16" t="inlineStr">
        <x:is>
          <x:t xml:space="preserve"/>
        </x:is>
      </x:c>
    </x:row>
    <x:row r="20" ht="18" customHeight="1">
      <x:c r="A20" s="12" t="n">
        <x:v>9</x:v>
      </x:c>
      <x:c r="B20" s="13" t="n"/>
      <x:c r="C20" s="14">
        <x:f>IF($B20="","",MAX(0,INT((($B20-$B$5)*1440)+0.000001)))</x:f>
      </x:c>
      <x:c r="D20" s="14">
        <x:f>IF($B20="","",MAX(0,$C20-$B$6))</x:f>
      </x:c>
      <x:c r="E20" s="15">
        <x:f>IF($B20="","",$D20/60)</x:f>
      </x:c>
      <x:c r="F20" s="16" t="inlineStr">
        <x:is>
          <x:t xml:space="preserve"/>
        </x:is>
      </x:c>
    </x:row>
    <x:row r="21" ht="18" customHeight="1">
      <x:c r="A21" s="12" t="n">
        <x:v>10</x:v>
      </x:c>
      <x:c r="B21" s="13" t="n"/>
      <x:c r="C21" s="14">
        <x:f>IF($B21="","",MAX(0,INT((($B21-$B$5)*1440)+0.000001)))</x:f>
      </x:c>
      <x:c r="D21" s="14">
        <x:f>IF($B21="","",MAX(0,$C21-$B$6))</x:f>
      </x:c>
      <x:c r="E21" s="15">
        <x:f>IF($B21="","",$D21/60)</x:f>
      </x:c>
      <x:c r="F21" s="16" t="inlineStr">
        <x:is>
          <x:t xml:space="preserve"/>
        </x:is>
      </x:c>
    </x:row>
    <x:row r="22" ht="18" customHeight="1">
      <x:c r="A22" s="12" t="n">
        <x:v>11</x:v>
      </x:c>
      <x:c r="B22" s="13" t="n"/>
      <x:c r="C22" s="14">
        <x:f>IF($B22="","",MAX(0,INT((($B22-$B$5)*1440)+0.000001)))</x:f>
      </x:c>
      <x:c r="D22" s="14">
        <x:f>IF($B22="","",MAX(0,$C22-$B$6))</x:f>
      </x:c>
      <x:c r="E22" s="15">
        <x:f>IF($B22="","",$D22/60)</x:f>
      </x:c>
      <x:c r="F22" s="16" t="inlineStr">
        <x:is>
          <x:t xml:space="preserve"/>
        </x:is>
      </x:c>
    </x:row>
    <x:row r="23" ht="18" customHeight="1">
      <x:c r="A23" s="12" t="n">
        <x:v>12</x:v>
      </x:c>
      <x:c r="B23" s="13" t="n"/>
      <x:c r="C23" s="14">
        <x:f>IF($B23="","",MAX(0,INT((($B23-$B$5)*1440)+0.000001)))</x:f>
      </x:c>
      <x:c r="D23" s="14">
        <x:f>IF($B23="","",MAX(0,$C23-$B$6))</x:f>
      </x:c>
      <x:c r="E23" s="15">
        <x:f>IF($B23="","",$D23/60)</x:f>
      </x:c>
      <x:c r="F23" s="16" t="inlineStr">
        <x:is>
          <x:t xml:space="preserve"/>
        </x:is>
      </x:c>
    </x:row>
    <x:row r="24" ht="18" customHeight="1">
      <x:c r="A24" s="12" t="n">
        <x:v>13</x:v>
      </x:c>
      <x:c r="B24" s="13" t="n"/>
      <x:c r="C24" s="14">
        <x:f>IF($B24="","",MAX(0,INT((($B24-$B$5)*1440)+0.000001)))</x:f>
      </x:c>
      <x:c r="D24" s="14">
        <x:f>IF($B24="","",MAX(0,$C24-$B$6))</x:f>
      </x:c>
      <x:c r="E24" s="15">
        <x:f>IF($B24="","",$D24/60)</x:f>
      </x:c>
      <x:c r="F24" s="16" t="inlineStr">
        <x:is>
          <x:t xml:space="preserve"/>
        </x:is>
      </x:c>
    </x:row>
    <x:row r="25" ht="18" customHeight="1">
      <x:c r="A25" s="12" t="n">
        <x:v>14</x:v>
      </x:c>
      <x:c r="B25" s="13" t="n"/>
      <x:c r="C25" s="14">
        <x:f>IF($B25="","",MAX(0,INT((($B25-$B$5)*1440)+0.000001)))</x:f>
      </x:c>
      <x:c r="D25" s="14">
        <x:f>IF($B25="","",MAX(0,$C25-$B$6))</x:f>
      </x:c>
      <x:c r="E25" s="15">
        <x:f>IF($B25="","",$D25/60)</x:f>
      </x:c>
      <x:c r="F25" s="16" t="inlineStr">
        <x:is>
          <x:t xml:space="preserve"/>
        </x:is>
      </x:c>
    </x:row>
    <x:row r="26" ht="18" customHeight="1">
      <x:c r="A26" s="12" t="n">
        <x:v>15</x:v>
      </x:c>
      <x:c r="B26" s="13" t="n"/>
      <x:c r="C26" s="14">
        <x:f>IF($B26="","",MAX(0,INT((($B26-$B$5)*1440)+0.000001)))</x:f>
      </x:c>
      <x:c r="D26" s="14">
        <x:f>IF($B26="","",MAX(0,$C26-$B$6))</x:f>
      </x:c>
      <x:c r="E26" s="15">
        <x:f>IF($B26="","",$D26/60)</x:f>
      </x:c>
      <x:c r="F26" s="16" t="inlineStr">
        <x:is>
          <x:t xml:space="preserve"/>
        </x:is>
      </x:c>
    </x:row>
    <x:row r="27" ht="18" customHeight="1">
      <x:c r="A27" s="12" t="n">
        <x:v>16</x:v>
      </x:c>
      <x:c r="B27" s="13" t="n"/>
      <x:c r="C27" s="14">
        <x:f>IF($B27="","",MAX(0,INT((($B27-$B$5)*1440)+0.000001)))</x:f>
      </x:c>
      <x:c r="D27" s="14">
        <x:f>IF($B27="","",MAX(0,$C27-$B$6))</x:f>
      </x:c>
      <x:c r="E27" s="15">
        <x:f>IF($B27="","",$D27/60)</x:f>
      </x:c>
      <x:c r="F27" s="16" t="inlineStr">
        <x:is>
          <x:t xml:space="preserve"/>
        </x:is>
      </x:c>
    </x:row>
    <x:row r="28" ht="18" customHeight="1">
      <x:c r="A28" s="12" t="n">
        <x:v>17</x:v>
      </x:c>
      <x:c r="B28" s="13" t="n"/>
      <x:c r="C28" s="14">
        <x:f>IF($B28="","",MAX(0,INT((($B28-$B$5)*1440)+0.000001)))</x:f>
      </x:c>
      <x:c r="D28" s="14">
        <x:f>IF($B28="","",MAX(0,$C28-$B$6))</x:f>
      </x:c>
      <x:c r="E28" s="15">
        <x:f>IF($B28="","",$D28/60)</x:f>
      </x:c>
      <x:c r="F28" s="16" t="inlineStr">
        <x:is>
          <x:t xml:space="preserve"/>
        </x:is>
      </x:c>
    </x:row>
    <x:row r="29" ht="18" customHeight="1">
      <x:c r="A29" s="12" t="n">
        <x:v>18</x:v>
      </x:c>
      <x:c r="B29" s="13" t="n"/>
      <x:c r="C29" s="14">
        <x:f>IF($B29="","",MAX(0,INT((($B29-$B$5)*1440)+0.000001)))</x:f>
      </x:c>
      <x:c r="D29" s="14">
        <x:f>IF($B29="","",MAX(0,$C29-$B$6))</x:f>
      </x:c>
      <x:c r="E29" s="15">
        <x:f>IF($B29="","",$D29/60)</x:f>
      </x:c>
      <x:c r="F29" s="16" t="inlineStr">
        <x:is>
          <x:t xml:space="preserve"/>
        </x:is>
      </x:c>
    </x:row>
    <x:row r="30" ht="18" customHeight="1">
      <x:c r="A30" s="12" t="n">
        <x:v>19</x:v>
      </x:c>
      <x:c r="B30" s="13" t="n"/>
      <x:c r="C30" s="14">
        <x:f>IF($B30="","",MAX(0,INT((($B30-$B$5)*1440)+0.000001)))</x:f>
      </x:c>
      <x:c r="D30" s="14">
        <x:f>IF($B30="","",MAX(0,$C30-$B$6))</x:f>
      </x:c>
      <x:c r="E30" s="15">
        <x:f>IF($B30="","",$D30/60)</x:f>
      </x:c>
      <x:c r="F30" s="16" t="inlineStr">
        <x:is>
          <x:t xml:space="preserve"/>
        </x:is>
      </x:c>
    </x:row>
    <x:row r="31" ht="18" customHeight="1">
      <x:c r="A31" s="12" t="n">
        <x:v>20</x:v>
      </x:c>
      <x:c r="B31" s="13" t="n"/>
      <x:c r="C31" s="14">
        <x:f>IF($B31="","",MAX(0,INT((($B31-$B$5)*1440)+0.000001)))</x:f>
      </x:c>
      <x:c r="D31" s="14">
        <x:f>IF($B31="","",MAX(0,$C31-$B$6))</x:f>
      </x:c>
      <x:c r="E31" s="15">
        <x:f>IF($B31="","",$D31/60)</x:f>
      </x:c>
      <x:c r="F31" s="16" t="inlineStr">
        <x:is>
          <x:t xml:space="preserve"/>
        </x:is>
      </x:c>
    </x:row>
    <x:row r="32" ht="18" customHeight="1">
      <x:c r="A32" s="12" t="n">
        <x:v>21</x:v>
      </x:c>
      <x:c r="B32" s="13" t="n"/>
      <x:c r="C32" s="14">
        <x:f>IF($B32="","",MAX(0,INT((($B32-$B$5)*1440)+0.000001)))</x:f>
      </x:c>
      <x:c r="D32" s="14">
        <x:f>IF($B32="","",MAX(0,$C32-$B$6))</x:f>
      </x:c>
      <x:c r="E32" s="15">
        <x:f>IF($B32="","",$D32/60)</x:f>
      </x:c>
      <x:c r="F32" s="16" t="inlineStr">
        <x:is>
          <x:t xml:space="preserve"/>
        </x:is>
      </x:c>
    </x:row>
    <x:row r="33" ht="18" customHeight="1">
      <x:c r="A33" s="12" t="n">
        <x:v>22</x:v>
      </x:c>
      <x:c r="B33" s="13" t="n"/>
      <x:c r="C33" s="14">
        <x:f>IF($B33="","",MAX(0,INT((($B33-$B$5)*1440)+0.000001)))</x:f>
      </x:c>
      <x:c r="D33" s="14">
        <x:f>IF($B33="","",MAX(0,$C33-$B$6))</x:f>
      </x:c>
      <x:c r="E33" s="15">
        <x:f>IF($B33="","",$D33/60)</x:f>
      </x:c>
      <x:c r="F33" s="16" t="inlineStr">
        <x:is>
          <x:t xml:space="preserve"/>
        </x:is>
      </x:c>
    </x:row>
    <x:row r="34" ht="18" customHeight="1">
      <x:c r="A34" s="12" t="n">
        <x:v>23</x:v>
      </x:c>
      <x:c r="B34" s="13" t="n"/>
      <x:c r="C34" s="14">
        <x:f>IF($B34="","",MAX(0,INT((($B34-$B$5)*1440)+0.000001)))</x:f>
      </x:c>
      <x:c r="D34" s="14">
        <x:f>IF($B34="","",MAX(0,$C34-$B$6))</x:f>
      </x:c>
      <x:c r="E34" s="15">
        <x:f>IF($B34="","",$D34/60)</x:f>
      </x:c>
      <x:c r="F34" s="16" t="inlineStr">
        <x:is>
          <x:t xml:space="preserve"/>
        </x:is>
      </x:c>
    </x:row>
    <x:row r="35" ht="18" customHeight="1">
      <x:c r="A35" s="12" t="n">
        <x:v>24</x:v>
      </x:c>
      <x:c r="B35" s="13" t="n"/>
      <x:c r="C35" s="14">
        <x:f>IF($B35="","",MAX(0,INT((($B35-$B$5)*1440)+0.000001)))</x:f>
      </x:c>
      <x:c r="D35" s="14">
        <x:f>IF($B35="","",MAX(0,$C35-$B$6))</x:f>
      </x:c>
      <x:c r="E35" s="15">
        <x:f>IF($B35="","",$D35/60)</x:f>
      </x:c>
      <x:c r="F35" s="16" t="inlineStr">
        <x:is>
          <x:t xml:space="preserve"/>
        </x:is>
      </x:c>
    </x:row>
    <x:row r="36" ht="18" customHeight="1">
      <x:c r="A36" s="12" t="n">
        <x:v>25</x:v>
      </x:c>
      <x:c r="B36" s="13" t="n"/>
      <x:c r="C36" s="14">
        <x:f>IF($B36="","",MAX(0,INT((($B36-$B$5)*1440)+0.000001)))</x:f>
      </x:c>
      <x:c r="D36" s="14">
        <x:f>IF($B36="","",MAX(0,$C36-$B$6))</x:f>
      </x:c>
      <x:c r="E36" s="15">
        <x:f>IF($B36="","",$D36/60)</x:f>
      </x:c>
      <x:c r="F36" s="16" t="inlineStr">
        <x:is>
          <x:t xml:space="preserve"/>
        </x:is>
      </x:c>
    </x:row>
    <x:row r="37" ht="18" customHeight="1">
      <x:c r="A37" s="12" t="n">
        <x:v>26</x:v>
      </x:c>
      <x:c r="B37" s="13" t="n"/>
      <x:c r="C37" s="14">
        <x:f>IF($B37="","",MAX(0,INT((($B37-$B$5)*1440)+0.000001)))</x:f>
      </x:c>
      <x:c r="D37" s="14">
        <x:f>IF($B37="","",MAX(0,$C37-$B$6))</x:f>
      </x:c>
      <x:c r="E37" s="15">
        <x:f>IF($B37="","",$D37/60)</x:f>
      </x:c>
      <x:c r="F37" s="16" t="inlineStr">
        <x:is>
          <x:t xml:space="preserve"/>
        </x:is>
      </x:c>
    </x:row>
    <x:row r="38" ht="18" customHeight="1">
      <x:c r="A38" s="12" t="n">
        <x:v>27</x:v>
      </x:c>
      <x:c r="B38" s="13" t="n"/>
      <x:c r="C38" s="14">
        <x:f>IF($B38="","",MAX(0,INT((($B38-$B$5)*1440)+0.000001)))</x:f>
      </x:c>
      <x:c r="D38" s="14">
        <x:f>IF($B38="","",MAX(0,$C38-$B$6))</x:f>
      </x:c>
      <x:c r="E38" s="15">
        <x:f>IF($B38="","",$D38/60)</x:f>
      </x:c>
      <x:c r="F38" s="16" t="inlineStr">
        <x:is>
          <x:t xml:space="preserve"/>
        </x:is>
      </x:c>
    </x:row>
    <x:row r="39" ht="18" customHeight="1">
      <x:c r="A39" s="12" t="n">
        <x:v>28</x:v>
      </x:c>
      <x:c r="B39" s="13" t="n"/>
      <x:c r="C39" s="14">
        <x:f>IF($B39="","",MAX(0,INT((($B39-$B$5)*1440)+0.000001)))</x:f>
      </x:c>
      <x:c r="D39" s="14">
        <x:f>IF($B39="","",MAX(0,$C39-$B$6))</x:f>
      </x:c>
      <x:c r="E39" s="15">
        <x:f>IF($B39="","",$D39/60)</x:f>
      </x:c>
      <x:c r="F39" s="16" t="inlineStr">
        <x:is>
          <x:t xml:space="preserve"/>
        </x:is>
      </x:c>
    </x:row>
    <x:row r="40" ht="18" customHeight="1">
      <x:c r="A40" s="12" t="n">
        <x:v>29</x:v>
      </x:c>
      <x:c r="B40" s="13" t="n"/>
      <x:c r="C40" s="14">
        <x:f>IF($B40="","",MAX(0,INT((($B40-$B$5)*1440)+0.000001)))</x:f>
      </x:c>
      <x:c r="D40" s="14">
        <x:f>IF($B40="","",MAX(0,$C40-$B$6))</x:f>
      </x:c>
      <x:c r="E40" s="15">
        <x:f>IF($B40="","",$D40/60)</x:f>
      </x:c>
      <x:c r="F40" s="16" t="inlineStr">
        <x:is>
          <x:t xml:space="preserve"/>
        </x:is>
      </x:c>
    </x:row>
    <x:row r="41" ht="18" customHeight="1">
      <x:c r="A41" s="12" t="n">
        <x:v>30</x:v>
      </x:c>
      <x:c r="B41" s="13" t="n"/>
      <x:c r="C41" s="14">
        <x:f>IF($B41="","",MAX(0,INT((($B41-$B$5)*1440)+0.000001)))</x:f>
      </x:c>
      <x:c r="D41" s="14">
        <x:f>IF($B41="","",MAX(0,$C41-$B$6))</x:f>
      </x:c>
      <x:c r="E41" s="15">
        <x:f>IF($B41="","",$D41/60)</x:f>
      </x:c>
      <x:c r="F41" s="16" t="inlineStr">
        <x:is>
          <x:t xml:space="preserve"/>
        </x:is>
      </x:c>
    </x:row>
    <x:row r="42" ht="18" customHeight="1">
      <x:c r="A42" s="12" t="n">
        <x:v>31</x:v>
      </x:c>
      <x:c r="B42" s="13" t="n"/>
      <x:c r="C42" s="14">
        <x:f>IF($B42="","",MAX(0,INT((($B42-$B$5)*1440)+0.000001)))</x:f>
      </x:c>
      <x:c r="D42" s="14">
        <x:f>IF($B42="","",MAX(0,$C42-$B$6))</x:f>
      </x:c>
      <x:c r="E42" s="15">
        <x:f>IF($B42="","",$D42/60)</x:f>
      </x:c>
      <x:c r="F42" s="16" t="inlineStr">
        <x:is>
          <x:t xml:space="preserve"/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customWidth="1"/>
    <x:col min="2" max="2" width="16" customWidth="1"/>
    <x:col min="3" max="3" width="14" customWidth="1"/>
    <x:col min="4" max="4" width="18" customWidth="1"/>
    <x:col min="5" max="5" width="16" customWidth="1"/>
    <x:col min="6" max="6" width="22" customWidth="1"/>
  </x:cols>
  <x:sheetData>
    <x:row r="1" ht="26" customHeight="1">
      <x:c r="A1" s="1" t="inlineStr">
        <x:is>
          <x:t xml:space="preserve">5月｜全勤獎金按實際上班時數比例計算</x:t>
        </x:is>
      </x:c>
    </x:row>
    <x:row r="2" ht="34" customHeight="1">
      <x:c r="A2" s="2" t="inlineStr">
        <x:is>
          <x:t xml:space="preserve">說明：打卡時間輸入在「上班打卡」欄。遲到先以(打卡-基準)算分鐘；前「免計分鐘」不扣，從第31分鐘起才開始計入。</x:t>
        </x:is>
      </x:c>
    </x:row>
    <x:row r="3">
      <x:c r="A3" s="3" t="inlineStr">
        <x:is>
          <x:t xml:space="preserve">全勤獎金(元)</x:t>
        </x:is>
      </x:c>
      <x:c r="B3" s="4" t="n">
        <x:v>1000</x:v>
      </x:c>
      <x:c r="D3" s="3" t="inlineStr">
        <x:is>
          <x:t xml:space="preserve">本月全勤扣除(元)</x:t>
        </x:is>
      </x:c>
      <x:c r="E3" s="5">
        <x:f>ROUND($B$3-$B$10,2)</x:f>
        <x:v>0</x:v>
      </x:c>
    </x:row>
    <x:row r="4">
      <x:c r="A4" s="3" t="inlineStr">
        <x:is>
          <x:t xml:space="preserve">應上班時數(小時)</x:t>
        </x:is>
      </x:c>
      <x:c r="B4" s="6" t="n">
        <x:v>184</x:v>
      </x:c>
    </x:row>
    <x:row r="5">
      <x:c r="A5" s="3" t="inlineStr">
        <x:is>
          <x:t xml:space="preserve">上班時間(基準)</x:t>
        </x:is>
      </x:c>
      <x:c r="B5" s="7" t="n">
        <x:v>0.3541666666666667</x:v>
      </x:c>
    </x:row>
    <x:row r="6">
      <x:c r="A6" s="3" t="inlineStr">
        <x:is>
          <x:t xml:space="preserve">遲到免計(分鐘)</x:t>
        </x:is>
      </x:c>
      <x:c r="B6" s="8" t="n">
        <x:v>30</x:v>
      </x:c>
    </x:row>
    <x:row r="7">
      <x:c r="A7" s="3" t="inlineStr">
        <x:is>
          <x:t xml:space="preserve">合計有效遲到(分鐘)</x:t>
        </x:is>
      </x:c>
      <x:c r="B7" s="9">
        <x:f>SUM($D$12:$D$42)</x:f>
        <x:v>0</x:v>
      </x:c>
    </x:row>
    <x:row r="8">
      <x:c r="A8" s="3" t="inlineStr">
        <x:is>
          <x:t xml:space="preserve">合計有效遲到(小時)</x:t>
        </x:is>
      </x:c>
      <x:c r="B8" s="10">
        <x:f>$B$7/60</x:f>
        <x:v>0</x:v>
      </x:c>
    </x:row>
    <x:row r="9">
      <x:c r="A9" s="3" t="inlineStr">
        <x:is>
          <x:t xml:space="preserve">實際上班時數(小時)</x:t>
        </x:is>
      </x:c>
      <x:c r="B9" s="10">
        <x:f>MAX(0,$B$4-$B$8)</x:f>
        <x:v>184</x:v>
      </x:c>
    </x:row>
    <x:row r="10">
      <x:c r="A10" s="3" t="inlineStr">
        <x:is>
          <x:t xml:space="preserve">本月全勤實領(元)</x:t>
        </x:is>
      </x:c>
      <x:c r="B10" s="5">
        <x:f>ROUND($B$3*($B$9/$B$4),2)</x:f>
        <x:v>1000</x:v>
      </x:c>
    </x:row>
    <x:row r="11" ht="20" customHeight="1">
      <x:c r="A11" s="11" t="inlineStr">
        <x:is>
          <x:t xml:space="preserve">日</x:t>
        </x:is>
      </x:c>
      <x:c r="B11" s="11" t="inlineStr">
        <x:is>
          <x:t xml:space="preserve">上班打卡</x:t>
        </x:is>
      </x:c>
      <x:c r="C11" s="11" t="inlineStr">
        <x:is>
          <x:t xml:space="preserve">原始遲到(分)</x:t>
        </x:is>
      </x:c>
      <x:c r="D11" s="11" t="inlineStr">
        <x:is>
          <x:t xml:space="preserve">計入遲到(分)</x:t>
        </x:is>
      </x:c>
      <x:c r="E11" s="11" t="inlineStr">
        <x:is>
          <x:t xml:space="preserve">計入遲到(時)</x:t>
        </x:is>
      </x:c>
      <x:c r="F11" s="11" t="inlineStr">
        <x:is>
          <x:t xml:space="preserve">備註</x:t>
        </x:is>
      </x:c>
    </x:row>
    <x:row r="12" ht="18" customHeight="1">
      <x:c r="A12" s="12" t="n">
        <x:v>1</x:v>
      </x:c>
      <x:c r="B12" s="13" t="n"/>
      <x:c r="C12" s="14">
        <x:f>IF($B12="","",MAX(0,INT((($B12-$B$5)*1440)+0.000001)))</x:f>
      </x:c>
      <x:c r="D12" s="14">
        <x:f>IF($B12="","",MAX(0,$C12-$B$6))</x:f>
      </x:c>
      <x:c r="E12" s="15">
        <x:f>IF($B12="","",$D12/60)</x:f>
      </x:c>
      <x:c r="F12" s="16" t="inlineStr">
        <x:is>
          <x:t xml:space="preserve"/>
        </x:is>
      </x:c>
    </x:row>
    <x:row r="13" ht="18" customHeight="1">
      <x:c r="A13" s="12" t="n">
        <x:v>2</x:v>
      </x:c>
      <x:c r="B13" s="13" t="n"/>
      <x:c r="C13" s="14">
        <x:f>IF($B13="","",MAX(0,INT((($B13-$B$5)*1440)+0.000001)))</x:f>
      </x:c>
      <x:c r="D13" s="14">
        <x:f>IF($B13="","",MAX(0,$C13-$B$6))</x:f>
      </x:c>
      <x:c r="E13" s="15">
        <x:f>IF($B13="","",$D13/60)</x:f>
      </x:c>
      <x:c r="F13" s="16" t="inlineStr">
        <x:is>
          <x:t xml:space="preserve"/>
        </x:is>
      </x:c>
    </x:row>
    <x:row r="14" ht="18" customHeight="1">
      <x:c r="A14" s="12" t="n">
        <x:v>3</x:v>
      </x:c>
      <x:c r="B14" s="13" t="n"/>
      <x:c r="C14" s="14">
        <x:f>IF($B14="","",MAX(0,INT((($B14-$B$5)*1440)+0.000001)))</x:f>
      </x:c>
      <x:c r="D14" s="14">
        <x:f>IF($B14="","",MAX(0,$C14-$B$6))</x:f>
      </x:c>
      <x:c r="E14" s="15">
        <x:f>IF($B14="","",$D14/60)</x:f>
      </x:c>
      <x:c r="F14" s="16" t="inlineStr">
        <x:is>
          <x:t xml:space="preserve"/>
        </x:is>
      </x:c>
    </x:row>
    <x:row r="15" ht="18" customHeight="1">
      <x:c r="A15" s="12" t="n">
        <x:v>4</x:v>
      </x:c>
      <x:c r="B15" s="13" t="n"/>
      <x:c r="C15" s="14">
        <x:f>IF($B15="","",MAX(0,INT((($B15-$B$5)*1440)+0.000001)))</x:f>
      </x:c>
      <x:c r="D15" s="14">
        <x:f>IF($B15="","",MAX(0,$C15-$B$6))</x:f>
      </x:c>
      <x:c r="E15" s="15">
        <x:f>IF($B15="","",$D15/60)</x:f>
      </x:c>
      <x:c r="F15" s="16" t="inlineStr">
        <x:is>
          <x:t xml:space="preserve"/>
        </x:is>
      </x:c>
    </x:row>
    <x:row r="16" ht="18" customHeight="1">
      <x:c r="A16" s="12" t="n">
        <x:v>5</x:v>
      </x:c>
      <x:c r="B16" s="13" t="n"/>
      <x:c r="C16" s="14">
        <x:f>IF($B16="","",MAX(0,INT((($B16-$B$5)*1440)+0.000001)))</x:f>
      </x:c>
      <x:c r="D16" s="14">
        <x:f>IF($B16="","",MAX(0,$C16-$B$6))</x:f>
      </x:c>
      <x:c r="E16" s="15">
        <x:f>IF($B16="","",$D16/60)</x:f>
      </x:c>
      <x:c r="F16" s="16" t="inlineStr">
        <x:is>
          <x:t xml:space="preserve"/>
        </x:is>
      </x:c>
    </x:row>
    <x:row r="17" ht="18" customHeight="1">
      <x:c r="A17" s="12" t="n">
        <x:v>6</x:v>
      </x:c>
      <x:c r="B17" s="13" t="n"/>
      <x:c r="C17" s="14">
        <x:f>IF($B17="","",MAX(0,INT((($B17-$B$5)*1440)+0.000001)))</x:f>
      </x:c>
      <x:c r="D17" s="14">
        <x:f>IF($B17="","",MAX(0,$C17-$B$6))</x:f>
      </x:c>
      <x:c r="E17" s="15">
        <x:f>IF($B17="","",$D17/60)</x:f>
      </x:c>
      <x:c r="F17" s="16" t="inlineStr">
        <x:is>
          <x:t xml:space="preserve"/>
        </x:is>
      </x:c>
    </x:row>
    <x:row r="18" ht="18" customHeight="1">
      <x:c r="A18" s="12" t="n">
        <x:v>7</x:v>
      </x:c>
      <x:c r="B18" s="13" t="n"/>
      <x:c r="C18" s="14">
        <x:f>IF($B18="","",MAX(0,INT((($B18-$B$5)*1440)+0.000001)))</x:f>
      </x:c>
      <x:c r="D18" s="14">
        <x:f>IF($B18="","",MAX(0,$C18-$B$6))</x:f>
      </x:c>
      <x:c r="E18" s="15">
        <x:f>IF($B18="","",$D18/60)</x:f>
      </x:c>
      <x:c r="F18" s="16" t="inlineStr">
        <x:is>
          <x:t xml:space="preserve"/>
        </x:is>
      </x:c>
    </x:row>
    <x:row r="19" ht="18" customHeight="1">
      <x:c r="A19" s="12" t="n">
        <x:v>8</x:v>
      </x:c>
      <x:c r="B19" s="13" t="n"/>
      <x:c r="C19" s="14">
        <x:f>IF($B19="","",MAX(0,INT((($B19-$B$5)*1440)+0.000001)))</x:f>
      </x:c>
      <x:c r="D19" s="14">
        <x:f>IF($B19="","",MAX(0,$C19-$B$6))</x:f>
      </x:c>
      <x:c r="E19" s="15">
        <x:f>IF($B19="","",$D19/60)</x:f>
      </x:c>
      <x:c r="F19" s="16" t="inlineStr">
        <x:is>
          <x:t xml:space="preserve"/>
        </x:is>
      </x:c>
    </x:row>
    <x:row r="20" ht="18" customHeight="1">
      <x:c r="A20" s="12" t="n">
        <x:v>9</x:v>
      </x:c>
      <x:c r="B20" s="13" t="n"/>
      <x:c r="C20" s="14">
        <x:f>IF($B20="","",MAX(0,INT((($B20-$B$5)*1440)+0.000001)))</x:f>
      </x:c>
      <x:c r="D20" s="14">
        <x:f>IF($B20="","",MAX(0,$C20-$B$6))</x:f>
      </x:c>
      <x:c r="E20" s="15">
        <x:f>IF($B20="","",$D20/60)</x:f>
      </x:c>
      <x:c r="F20" s="16" t="inlineStr">
        <x:is>
          <x:t xml:space="preserve"/>
        </x:is>
      </x:c>
    </x:row>
    <x:row r="21" ht="18" customHeight="1">
      <x:c r="A21" s="12" t="n">
        <x:v>10</x:v>
      </x:c>
      <x:c r="B21" s="13" t="n"/>
      <x:c r="C21" s="14">
        <x:f>IF($B21="","",MAX(0,INT((($B21-$B$5)*1440)+0.000001)))</x:f>
      </x:c>
      <x:c r="D21" s="14">
        <x:f>IF($B21="","",MAX(0,$C21-$B$6))</x:f>
      </x:c>
      <x:c r="E21" s="15">
        <x:f>IF($B21="","",$D21/60)</x:f>
      </x:c>
      <x:c r="F21" s="16" t="inlineStr">
        <x:is>
          <x:t xml:space="preserve"/>
        </x:is>
      </x:c>
    </x:row>
    <x:row r="22" ht="18" customHeight="1">
      <x:c r="A22" s="12" t="n">
        <x:v>11</x:v>
      </x:c>
      <x:c r="B22" s="13" t="n"/>
      <x:c r="C22" s="14">
        <x:f>IF($B22="","",MAX(0,INT((($B22-$B$5)*1440)+0.000001)))</x:f>
      </x:c>
      <x:c r="D22" s="14">
        <x:f>IF($B22="","",MAX(0,$C22-$B$6))</x:f>
      </x:c>
      <x:c r="E22" s="15">
        <x:f>IF($B22="","",$D22/60)</x:f>
      </x:c>
      <x:c r="F22" s="16" t="inlineStr">
        <x:is>
          <x:t xml:space="preserve"/>
        </x:is>
      </x:c>
    </x:row>
    <x:row r="23" ht="18" customHeight="1">
      <x:c r="A23" s="12" t="n">
        <x:v>12</x:v>
      </x:c>
      <x:c r="B23" s="13" t="n"/>
      <x:c r="C23" s="14">
        <x:f>IF($B23="","",MAX(0,INT((($B23-$B$5)*1440)+0.000001)))</x:f>
      </x:c>
      <x:c r="D23" s="14">
        <x:f>IF($B23="","",MAX(0,$C23-$B$6))</x:f>
      </x:c>
      <x:c r="E23" s="15">
        <x:f>IF($B23="","",$D23/60)</x:f>
      </x:c>
      <x:c r="F23" s="16" t="inlineStr">
        <x:is>
          <x:t xml:space="preserve"/>
        </x:is>
      </x:c>
    </x:row>
    <x:row r="24" ht="18" customHeight="1">
      <x:c r="A24" s="12" t="n">
        <x:v>13</x:v>
      </x:c>
      <x:c r="B24" s="13" t="n"/>
      <x:c r="C24" s="14">
        <x:f>IF($B24="","",MAX(0,INT((($B24-$B$5)*1440)+0.000001)))</x:f>
      </x:c>
      <x:c r="D24" s="14">
        <x:f>IF($B24="","",MAX(0,$C24-$B$6))</x:f>
      </x:c>
      <x:c r="E24" s="15">
        <x:f>IF($B24="","",$D24/60)</x:f>
      </x:c>
      <x:c r="F24" s="16" t="inlineStr">
        <x:is>
          <x:t xml:space="preserve"/>
        </x:is>
      </x:c>
    </x:row>
    <x:row r="25" ht="18" customHeight="1">
      <x:c r="A25" s="12" t="n">
        <x:v>14</x:v>
      </x:c>
      <x:c r="B25" s="13" t="n"/>
      <x:c r="C25" s="14">
        <x:f>IF($B25="","",MAX(0,INT((($B25-$B$5)*1440)+0.000001)))</x:f>
      </x:c>
      <x:c r="D25" s="14">
        <x:f>IF($B25="","",MAX(0,$C25-$B$6))</x:f>
      </x:c>
      <x:c r="E25" s="15">
        <x:f>IF($B25="","",$D25/60)</x:f>
      </x:c>
      <x:c r="F25" s="16" t="inlineStr">
        <x:is>
          <x:t xml:space="preserve"/>
        </x:is>
      </x:c>
    </x:row>
    <x:row r="26" ht="18" customHeight="1">
      <x:c r="A26" s="12" t="n">
        <x:v>15</x:v>
      </x:c>
      <x:c r="B26" s="13" t="n"/>
      <x:c r="C26" s="14">
        <x:f>IF($B26="","",MAX(0,INT((($B26-$B$5)*1440)+0.000001)))</x:f>
      </x:c>
      <x:c r="D26" s="14">
        <x:f>IF($B26="","",MAX(0,$C26-$B$6))</x:f>
      </x:c>
      <x:c r="E26" s="15">
        <x:f>IF($B26="","",$D26/60)</x:f>
      </x:c>
      <x:c r="F26" s="16" t="inlineStr">
        <x:is>
          <x:t xml:space="preserve"/>
        </x:is>
      </x:c>
    </x:row>
    <x:row r="27" ht="18" customHeight="1">
      <x:c r="A27" s="12" t="n">
        <x:v>16</x:v>
      </x:c>
      <x:c r="B27" s="13" t="n"/>
      <x:c r="C27" s="14">
        <x:f>IF($B27="","",MAX(0,INT((($B27-$B$5)*1440)+0.000001)))</x:f>
      </x:c>
      <x:c r="D27" s="14">
        <x:f>IF($B27="","",MAX(0,$C27-$B$6))</x:f>
      </x:c>
      <x:c r="E27" s="15">
        <x:f>IF($B27="","",$D27/60)</x:f>
      </x:c>
      <x:c r="F27" s="16" t="inlineStr">
        <x:is>
          <x:t xml:space="preserve"/>
        </x:is>
      </x:c>
    </x:row>
    <x:row r="28" ht="18" customHeight="1">
      <x:c r="A28" s="12" t="n">
        <x:v>17</x:v>
      </x:c>
      <x:c r="B28" s="13" t="n"/>
      <x:c r="C28" s="14">
        <x:f>IF($B28="","",MAX(0,INT((($B28-$B$5)*1440)+0.000001)))</x:f>
      </x:c>
      <x:c r="D28" s="14">
        <x:f>IF($B28="","",MAX(0,$C28-$B$6))</x:f>
      </x:c>
      <x:c r="E28" s="15">
        <x:f>IF($B28="","",$D28/60)</x:f>
      </x:c>
      <x:c r="F28" s="16" t="inlineStr">
        <x:is>
          <x:t xml:space="preserve"/>
        </x:is>
      </x:c>
    </x:row>
    <x:row r="29" ht="18" customHeight="1">
      <x:c r="A29" s="12" t="n">
        <x:v>18</x:v>
      </x:c>
      <x:c r="B29" s="13" t="n"/>
      <x:c r="C29" s="14">
        <x:f>IF($B29="","",MAX(0,INT((($B29-$B$5)*1440)+0.000001)))</x:f>
      </x:c>
      <x:c r="D29" s="14">
        <x:f>IF($B29="","",MAX(0,$C29-$B$6))</x:f>
      </x:c>
      <x:c r="E29" s="15">
        <x:f>IF($B29="","",$D29/60)</x:f>
      </x:c>
      <x:c r="F29" s="16" t="inlineStr">
        <x:is>
          <x:t xml:space="preserve"/>
        </x:is>
      </x:c>
    </x:row>
    <x:row r="30" ht="18" customHeight="1">
      <x:c r="A30" s="12" t="n">
        <x:v>19</x:v>
      </x:c>
      <x:c r="B30" s="13" t="n"/>
      <x:c r="C30" s="14">
        <x:f>IF($B30="","",MAX(0,INT((($B30-$B$5)*1440)+0.000001)))</x:f>
      </x:c>
      <x:c r="D30" s="14">
        <x:f>IF($B30="","",MAX(0,$C30-$B$6))</x:f>
      </x:c>
      <x:c r="E30" s="15">
        <x:f>IF($B30="","",$D30/60)</x:f>
      </x:c>
      <x:c r="F30" s="16" t="inlineStr">
        <x:is>
          <x:t xml:space="preserve"/>
        </x:is>
      </x:c>
    </x:row>
    <x:row r="31" ht="18" customHeight="1">
      <x:c r="A31" s="12" t="n">
        <x:v>20</x:v>
      </x:c>
      <x:c r="B31" s="13" t="n"/>
      <x:c r="C31" s="14">
        <x:f>IF($B31="","",MAX(0,INT((($B31-$B$5)*1440)+0.000001)))</x:f>
      </x:c>
      <x:c r="D31" s="14">
        <x:f>IF($B31="","",MAX(0,$C31-$B$6))</x:f>
      </x:c>
      <x:c r="E31" s="15">
        <x:f>IF($B31="","",$D31/60)</x:f>
      </x:c>
      <x:c r="F31" s="16" t="inlineStr">
        <x:is>
          <x:t xml:space="preserve"/>
        </x:is>
      </x:c>
    </x:row>
    <x:row r="32" ht="18" customHeight="1">
      <x:c r="A32" s="12" t="n">
        <x:v>21</x:v>
      </x:c>
      <x:c r="B32" s="13" t="n"/>
      <x:c r="C32" s="14">
        <x:f>IF($B32="","",MAX(0,INT((($B32-$B$5)*1440)+0.000001)))</x:f>
      </x:c>
      <x:c r="D32" s="14">
        <x:f>IF($B32="","",MAX(0,$C32-$B$6))</x:f>
      </x:c>
      <x:c r="E32" s="15">
        <x:f>IF($B32="","",$D32/60)</x:f>
      </x:c>
      <x:c r="F32" s="16" t="inlineStr">
        <x:is>
          <x:t xml:space="preserve"/>
        </x:is>
      </x:c>
    </x:row>
    <x:row r="33" ht="18" customHeight="1">
      <x:c r="A33" s="12" t="n">
        <x:v>22</x:v>
      </x:c>
      <x:c r="B33" s="13" t="n"/>
      <x:c r="C33" s="14">
        <x:f>IF($B33="","",MAX(0,INT((($B33-$B$5)*1440)+0.000001)))</x:f>
      </x:c>
      <x:c r="D33" s="14">
        <x:f>IF($B33="","",MAX(0,$C33-$B$6))</x:f>
      </x:c>
      <x:c r="E33" s="15">
        <x:f>IF($B33="","",$D33/60)</x:f>
      </x:c>
      <x:c r="F33" s="16" t="inlineStr">
        <x:is>
          <x:t xml:space="preserve"/>
        </x:is>
      </x:c>
    </x:row>
    <x:row r="34" ht="18" customHeight="1">
      <x:c r="A34" s="12" t="n">
        <x:v>23</x:v>
      </x:c>
      <x:c r="B34" s="13" t="n"/>
      <x:c r="C34" s="14">
        <x:f>IF($B34="","",MAX(0,INT((($B34-$B$5)*1440)+0.000001)))</x:f>
      </x:c>
      <x:c r="D34" s="14">
        <x:f>IF($B34="","",MAX(0,$C34-$B$6))</x:f>
      </x:c>
      <x:c r="E34" s="15">
        <x:f>IF($B34="","",$D34/60)</x:f>
      </x:c>
      <x:c r="F34" s="16" t="inlineStr">
        <x:is>
          <x:t xml:space="preserve"/>
        </x:is>
      </x:c>
    </x:row>
    <x:row r="35" ht="18" customHeight="1">
      <x:c r="A35" s="12" t="n">
        <x:v>24</x:v>
      </x:c>
      <x:c r="B35" s="13" t="n"/>
      <x:c r="C35" s="14">
        <x:f>IF($B35="","",MAX(0,INT((($B35-$B$5)*1440)+0.000001)))</x:f>
      </x:c>
      <x:c r="D35" s="14">
        <x:f>IF($B35="","",MAX(0,$C35-$B$6))</x:f>
      </x:c>
      <x:c r="E35" s="15">
        <x:f>IF($B35="","",$D35/60)</x:f>
      </x:c>
      <x:c r="F35" s="16" t="inlineStr">
        <x:is>
          <x:t xml:space="preserve"/>
        </x:is>
      </x:c>
    </x:row>
    <x:row r="36" ht="18" customHeight="1">
      <x:c r="A36" s="12" t="n">
        <x:v>25</x:v>
      </x:c>
      <x:c r="B36" s="13" t="n"/>
      <x:c r="C36" s="14">
        <x:f>IF($B36="","",MAX(0,INT((($B36-$B$5)*1440)+0.000001)))</x:f>
      </x:c>
      <x:c r="D36" s="14">
        <x:f>IF($B36="","",MAX(0,$C36-$B$6))</x:f>
      </x:c>
      <x:c r="E36" s="15">
        <x:f>IF($B36="","",$D36/60)</x:f>
      </x:c>
      <x:c r="F36" s="16" t="inlineStr">
        <x:is>
          <x:t xml:space="preserve"/>
        </x:is>
      </x:c>
    </x:row>
    <x:row r="37" ht="18" customHeight="1">
      <x:c r="A37" s="12" t="n">
        <x:v>26</x:v>
      </x:c>
      <x:c r="B37" s="13" t="n"/>
      <x:c r="C37" s="14">
        <x:f>IF($B37="","",MAX(0,INT((($B37-$B$5)*1440)+0.000001)))</x:f>
      </x:c>
      <x:c r="D37" s="14">
        <x:f>IF($B37="","",MAX(0,$C37-$B$6))</x:f>
      </x:c>
      <x:c r="E37" s="15">
        <x:f>IF($B37="","",$D37/60)</x:f>
      </x:c>
      <x:c r="F37" s="16" t="inlineStr">
        <x:is>
          <x:t xml:space="preserve"/>
        </x:is>
      </x:c>
    </x:row>
    <x:row r="38" ht="18" customHeight="1">
      <x:c r="A38" s="12" t="n">
        <x:v>27</x:v>
      </x:c>
      <x:c r="B38" s="13" t="n"/>
      <x:c r="C38" s="14">
        <x:f>IF($B38="","",MAX(0,INT((($B38-$B$5)*1440)+0.000001)))</x:f>
      </x:c>
      <x:c r="D38" s="14">
        <x:f>IF($B38="","",MAX(0,$C38-$B$6))</x:f>
      </x:c>
      <x:c r="E38" s="15">
        <x:f>IF($B38="","",$D38/60)</x:f>
      </x:c>
      <x:c r="F38" s="16" t="inlineStr">
        <x:is>
          <x:t xml:space="preserve"/>
        </x:is>
      </x:c>
    </x:row>
    <x:row r="39" ht="18" customHeight="1">
      <x:c r="A39" s="12" t="n">
        <x:v>28</x:v>
      </x:c>
      <x:c r="B39" s="13" t="n"/>
      <x:c r="C39" s="14">
        <x:f>IF($B39="","",MAX(0,INT((($B39-$B$5)*1440)+0.000001)))</x:f>
      </x:c>
      <x:c r="D39" s="14">
        <x:f>IF($B39="","",MAX(0,$C39-$B$6))</x:f>
      </x:c>
      <x:c r="E39" s="15">
        <x:f>IF($B39="","",$D39/60)</x:f>
      </x:c>
      <x:c r="F39" s="16" t="inlineStr">
        <x:is>
          <x:t xml:space="preserve"/>
        </x:is>
      </x:c>
    </x:row>
    <x:row r="40" ht="18" customHeight="1">
      <x:c r="A40" s="12" t="n">
        <x:v>29</x:v>
      </x:c>
      <x:c r="B40" s="13" t="n"/>
      <x:c r="C40" s="14">
        <x:f>IF($B40="","",MAX(0,INT((($B40-$B$5)*1440)+0.000001)))</x:f>
      </x:c>
      <x:c r="D40" s="14">
        <x:f>IF($B40="","",MAX(0,$C40-$B$6))</x:f>
      </x:c>
      <x:c r="E40" s="15">
        <x:f>IF($B40="","",$D40/60)</x:f>
      </x:c>
      <x:c r="F40" s="16" t="inlineStr">
        <x:is>
          <x:t xml:space="preserve"/>
        </x:is>
      </x:c>
    </x:row>
    <x:row r="41" ht="18" customHeight="1">
      <x:c r="A41" s="12" t="n">
        <x:v>30</x:v>
      </x:c>
      <x:c r="B41" s="13" t="n"/>
      <x:c r="C41" s="14">
        <x:f>IF($B41="","",MAX(0,INT((($B41-$B$5)*1440)+0.000001)))</x:f>
      </x:c>
      <x:c r="D41" s="14">
        <x:f>IF($B41="","",MAX(0,$C41-$B$6))</x:f>
      </x:c>
      <x:c r="E41" s="15">
        <x:f>IF($B41="","",$D41/60)</x:f>
      </x:c>
      <x:c r="F41" s="16" t="inlineStr">
        <x:is>
          <x:t xml:space="preserve"/>
        </x:is>
      </x:c>
    </x:row>
    <x:row r="42" ht="18" customHeight="1">
      <x:c r="A42" s="12" t="n">
        <x:v>31</x:v>
      </x:c>
      <x:c r="B42" s="13" t="n"/>
      <x:c r="C42" s="14">
        <x:f>IF($B42="","",MAX(0,INT((($B42-$B$5)*1440)+0.000001)))</x:f>
      </x:c>
      <x:c r="D42" s="14">
        <x:f>IF($B42="","",MAX(0,$C42-$B$6))</x:f>
      </x:c>
      <x:c r="E42" s="15">
        <x:f>IF($B42="","",$D42/60)</x:f>
      </x:c>
      <x:c r="F42" s="16" t="inlineStr">
        <x:is>
          <x:t xml:space="preserve"/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customWidth="1"/>
    <x:col min="2" max="2" width="16" customWidth="1"/>
    <x:col min="3" max="3" width="14" customWidth="1"/>
    <x:col min="4" max="4" width="18" customWidth="1"/>
    <x:col min="5" max="5" width="16" customWidth="1"/>
    <x:col min="6" max="6" width="22" customWidth="1"/>
  </x:cols>
  <x:sheetData>
    <x:row r="1" ht="26" customHeight="1">
      <x:c r="A1" s="1" t="inlineStr">
        <x:is>
          <x:t xml:space="preserve">6月｜全勤獎金按實際上班時數比例計算</x:t>
        </x:is>
      </x:c>
    </x:row>
    <x:row r="2" ht="34" customHeight="1">
      <x:c r="A2" s="2" t="inlineStr">
        <x:is>
          <x:t xml:space="preserve">說明：打卡時間輸入在「上班打卡」欄。遲到先以(打卡-基準)算分鐘；前「免計分鐘」不扣，從第31分鐘起才開始計入。</x:t>
        </x:is>
      </x:c>
    </x:row>
    <x:row r="3">
      <x:c r="A3" s="3" t="inlineStr">
        <x:is>
          <x:t xml:space="preserve">全勤獎金(元)</x:t>
        </x:is>
      </x:c>
      <x:c r="B3" s="4" t="n">
        <x:v>1000</x:v>
      </x:c>
      <x:c r="D3" s="3" t="inlineStr">
        <x:is>
          <x:t xml:space="preserve">本月全勤扣除(元)</x:t>
        </x:is>
      </x:c>
      <x:c r="E3" s="5">
        <x:f>ROUND($B$3-$B$10,2)</x:f>
        <x:v>0</x:v>
      </x:c>
    </x:row>
    <x:row r="4">
      <x:c r="A4" s="3" t="inlineStr">
        <x:is>
          <x:t xml:space="preserve">應上班時數(小時)</x:t>
        </x:is>
      </x:c>
      <x:c r="B4" s="6" t="n">
        <x:v>184</x:v>
      </x:c>
    </x:row>
    <x:row r="5">
      <x:c r="A5" s="3" t="inlineStr">
        <x:is>
          <x:t xml:space="preserve">上班時間(基準)</x:t>
        </x:is>
      </x:c>
      <x:c r="B5" s="7" t="n">
        <x:v>0.3541666666666667</x:v>
      </x:c>
    </x:row>
    <x:row r="6">
      <x:c r="A6" s="3" t="inlineStr">
        <x:is>
          <x:t xml:space="preserve">遲到免計(分鐘)</x:t>
        </x:is>
      </x:c>
      <x:c r="B6" s="8" t="n">
        <x:v>30</x:v>
      </x:c>
    </x:row>
    <x:row r="7">
      <x:c r="A7" s="3" t="inlineStr">
        <x:is>
          <x:t xml:space="preserve">合計有效遲到(分鐘)</x:t>
        </x:is>
      </x:c>
      <x:c r="B7" s="9">
        <x:f>SUM($D$12:$D$42)</x:f>
        <x:v>0</x:v>
      </x:c>
    </x:row>
    <x:row r="8">
      <x:c r="A8" s="3" t="inlineStr">
        <x:is>
          <x:t xml:space="preserve">合計有效遲到(小時)</x:t>
        </x:is>
      </x:c>
      <x:c r="B8" s="10">
        <x:f>$B$7/60</x:f>
        <x:v>0</x:v>
      </x:c>
    </x:row>
    <x:row r="9">
      <x:c r="A9" s="3" t="inlineStr">
        <x:is>
          <x:t xml:space="preserve">實際上班時數(小時)</x:t>
        </x:is>
      </x:c>
      <x:c r="B9" s="10">
        <x:f>MAX(0,$B$4-$B$8)</x:f>
        <x:v>184</x:v>
      </x:c>
    </x:row>
    <x:row r="10">
      <x:c r="A10" s="3" t="inlineStr">
        <x:is>
          <x:t xml:space="preserve">本月全勤實領(元)</x:t>
        </x:is>
      </x:c>
      <x:c r="B10" s="5">
        <x:f>ROUND($B$3*($B$9/$B$4),2)</x:f>
        <x:v>1000</x:v>
      </x:c>
    </x:row>
    <x:row r="11" ht="20" customHeight="1">
      <x:c r="A11" s="11" t="inlineStr">
        <x:is>
          <x:t xml:space="preserve">日</x:t>
        </x:is>
      </x:c>
      <x:c r="B11" s="11" t="inlineStr">
        <x:is>
          <x:t xml:space="preserve">上班打卡</x:t>
        </x:is>
      </x:c>
      <x:c r="C11" s="11" t="inlineStr">
        <x:is>
          <x:t xml:space="preserve">原始遲到(分)</x:t>
        </x:is>
      </x:c>
      <x:c r="D11" s="11" t="inlineStr">
        <x:is>
          <x:t xml:space="preserve">計入遲到(分)</x:t>
        </x:is>
      </x:c>
      <x:c r="E11" s="11" t="inlineStr">
        <x:is>
          <x:t xml:space="preserve">計入遲到(時)</x:t>
        </x:is>
      </x:c>
      <x:c r="F11" s="11" t="inlineStr">
        <x:is>
          <x:t xml:space="preserve">備註</x:t>
        </x:is>
      </x:c>
    </x:row>
    <x:row r="12" ht="18" customHeight="1">
      <x:c r="A12" s="12" t="n">
        <x:v>1</x:v>
      </x:c>
      <x:c r="B12" s="13" t="n"/>
      <x:c r="C12" s="14">
        <x:f>IF($B12="","",MAX(0,INT((($B12-$B$5)*1440)+0.000001)))</x:f>
      </x:c>
      <x:c r="D12" s="14">
        <x:f>IF($B12="","",MAX(0,$C12-$B$6))</x:f>
      </x:c>
      <x:c r="E12" s="15">
        <x:f>IF($B12="","",$D12/60)</x:f>
      </x:c>
      <x:c r="F12" s="16" t="inlineStr">
        <x:is>
          <x:t xml:space="preserve"/>
        </x:is>
      </x:c>
    </x:row>
    <x:row r="13" ht="18" customHeight="1">
      <x:c r="A13" s="12" t="n">
        <x:v>2</x:v>
      </x:c>
      <x:c r="B13" s="13" t="n"/>
      <x:c r="C13" s="14">
        <x:f>IF($B13="","",MAX(0,INT((($B13-$B$5)*1440)+0.000001)))</x:f>
      </x:c>
      <x:c r="D13" s="14">
        <x:f>IF($B13="","",MAX(0,$C13-$B$6))</x:f>
      </x:c>
      <x:c r="E13" s="15">
        <x:f>IF($B13="","",$D13/60)</x:f>
      </x:c>
      <x:c r="F13" s="16" t="inlineStr">
        <x:is>
          <x:t xml:space="preserve"/>
        </x:is>
      </x:c>
    </x:row>
    <x:row r="14" ht="18" customHeight="1">
      <x:c r="A14" s="12" t="n">
        <x:v>3</x:v>
      </x:c>
      <x:c r="B14" s="13" t="n"/>
      <x:c r="C14" s="14">
        <x:f>IF($B14="","",MAX(0,INT((($B14-$B$5)*1440)+0.000001)))</x:f>
      </x:c>
      <x:c r="D14" s="14">
        <x:f>IF($B14="","",MAX(0,$C14-$B$6))</x:f>
      </x:c>
      <x:c r="E14" s="15">
        <x:f>IF($B14="","",$D14/60)</x:f>
      </x:c>
      <x:c r="F14" s="16" t="inlineStr">
        <x:is>
          <x:t xml:space="preserve"/>
        </x:is>
      </x:c>
    </x:row>
    <x:row r="15" ht="18" customHeight="1">
      <x:c r="A15" s="12" t="n">
        <x:v>4</x:v>
      </x:c>
      <x:c r="B15" s="13" t="n"/>
      <x:c r="C15" s="14">
        <x:f>IF($B15="","",MAX(0,INT((($B15-$B$5)*1440)+0.000001)))</x:f>
      </x:c>
      <x:c r="D15" s="14">
        <x:f>IF($B15="","",MAX(0,$C15-$B$6))</x:f>
      </x:c>
      <x:c r="E15" s="15">
        <x:f>IF($B15="","",$D15/60)</x:f>
      </x:c>
      <x:c r="F15" s="16" t="inlineStr">
        <x:is>
          <x:t xml:space="preserve"/>
        </x:is>
      </x:c>
    </x:row>
    <x:row r="16" ht="18" customHeight="1">
      <x:c r="A16" s="12" t="n">
        <x:v>5</x:v>
      </x:c>
      <x:c r="B16" s="13" t="n"/>
      <x:c r="C16" s="14">
        <x:f>IF($B16="","",MAX(0,INT((($B16-$B$5)*1440)+0.000001)))</x:f>
      </x:c>
      <x:c r="D16" s="14">
        <x:f>IF($B16="","",MAX(0,$C16-$B$6))</x:f>
      </x:c>
      <x:c r="E16" s="15">
        <x:f>IF($B16="","",$D16/60)</x:f>
      </x:c>
      <x:c r="F16" s="16" t="inlineStr">
        <x:is>
          <x:t xml:space="preserve"/>
        </x:is>
      </x:c>
    </x:row>
    <x:row r="17" ht="18" customHeight="1">
      <x:c r="A17" s="12" t="n">
        <x:v>6</x:v>
      </x:c>
      <x:c r="B17" s="13" t="n"/>
      <x:c r="C17" s="14">
        <x:f>IF($B17="","",MAX(0,INT((($B17-$B$5)*1440)+0.000001)))</x:f>
      </x:c>
      <x:c r="D17" s="14">
        <x:f>IF($B17="","",MAX(0,$C17-$B$6))</x:f>
      </x:c>
      <x:c r="E17" s="15">
        <x:f>IF($B17="","",$D17/60)</x:f>
      </x:c>
      <x:c r="F17" s="16" t="inlineStr">
        <x:is>
          <x:t xml:space="preserve"/>
        </x:is>
      </x:c>
    </x:row>
    <x:row r="18" ht="18" customHeight="1">
      <x:c r="A18" s="12" t="n">
        <x:v>7</x:v>
      </x:c>
      <x:c r="B18" s="13" t="n"/>
      <x:c r="C18" s="14">
        <x:f>IF($B18="","",MAX(0,INT((($B18-$B$5)*1440)+0.000001)))</x:f>
      </x:c>
      <x:c r="D18" s="14">
        <x:f>IF($B18="","",MAX(0,$C18-$B$6))</x:f>
      </x:c>
      <x:c r="E18" s="15">
        <x:f>IF($B18="","",$D18/60)</x:f>
      </x:c>
      <x:c r="F18" s="16" t="inlineStr">
        <x:is>
          <x:t xml:space="preserve"/>
        </x:is>
      </x:c>
    </x:row>
    <x:row r="19" ht="18" customHeight="1">
      <x:c r="A19" s="12" t="n">
        <x:v>8</x:v>
      </x:c>
      <x:c r="B19" s="13" t="n"/>
      <x:c r="C19" s="14">
        <x:f>IF($B19="","",MAX(0,INT((($B19-$B$5)*1440)+0.000001)))</x:f>
      </x:c>
      <x:c r="D19" s="14">
        <x:f>IF($B19="","",MAX(0,$C19-$B$6))</x:f>
      </x:c>
      <x:c r="E19" s="15">
        <x:f>IF($B19="","",$D19/60)</x:f>
      </x:c>
      <x:c r="F19" s="16" t="inlineStr">
        <x:is>
          <x:t xml:space="preserve"/>
        </x:is>
      </x:c>
    </x:row>
    <x:row r="20" ht="18" customHeight="1">
      <x:c r="A20" s="12" t="n">
        <x:v>9</x:v>
      </x:c>
      <x:c r="B20" s="13" t="n"/>
      <x:c r="C20" s="14">
        <x:f>IF($B20="","",MAX(0,INT((($B20-$B$5)*1440)+0.000001)))</x:f>
      </x:c>
      <x:c r="D20" s="14">
        <x:f>IF($B20="","",MAX(0,$C20-$B$6))</x:f>
      </x:c>
      <x:c r="E20" s="15">
        <x:f>IF($B20="","",$D20/60)</x:f>
      </x:c>
      <x:c r="F20" s="16" t="inlineStr">
        <x:is>
          <x:t xml:space="preserve"/>
        </x:is>
      </x:c>
    </x:row>
    <x:row r="21" ht="18" customHeight="1">
      <x:c r="A21" s="12" t="n">
        <x:v>10</x:v>
      </x:c>
      <x:c r="B21" s="13" t="n"/>
      <x:c r="C21" s="14">
        <x:f>IF($B21="","",MAX(0,INT((($B21-$B$5)*1440)+0.000001)))</x:f>
      </x:c>
      <x:c r="D21" s="14">
        <x:f>IF($B21="","",MAX(0,$C21-$B$6))</x:f>
      </x:c>
      <x:c r="E21" s="15">
        <x:f>IF($B21="","",$D21/60)</x:f>
      </x:c>
      <x:c r="F21" s="16" t="inlineStr">
        <x:is>
          <x:t xml:space="preserve"/>
        </x:is>
      </x:c>
    </x:row>
    <x:row r="22" ht="18" customHeight="1">
      <x:c r="A22" s="12" t="n">
        <x:v>11</x:v>
      </x:c>
      <x:c r="B22" s="13" t="n"/>
      <x:c r="C22" s="14">
        <x:f>IF($B22="","",MAX(0,INT((($B22-$B$5)*1440)+0.000001)))</x:f>
      </x:c>
      <x:c r="D22" s="14">
        <x:f>IF($B22="","",MAX(0,$C22-$B$6))</x:f>
      </x:c>
      <x:c r="E22" s="15">
        <x:f>IF($B22="","",$D22/60)</x:f>
      </x:c>
      <x:c r="F22" s="16" t="inlineStr">
        <x:is>
          <x:t xml:space="preserve"/>
        </x:is>
      </x:c>
    </x:row>
    <x:row r="23" ht="18" customHeight="1">
      <x:c r="A23" s="12" t="n">
        <x:v>12</x:v>
      </x:c>
      <x:c r="B23" s="13" t="n"/>
      <x:c r="C23" s="14">
        <x:f>IF($B23="","",MAX(0,INT((($B23-$B$5)*1440)+0.000001)))</x:f>
      </x:c>
      <x:c r="D23" s="14">
        <x:f>IF($B23="","",MAX(0,$C23-$B$6))</x:f>
      </x:c>
      <x:c r="E23" s="15">
        <x:f>IF($B23="","",$D23/60)</x:f>
      </x:c>
      <x:c r="F23" s="16" t="inlineStr">
        <x:is>
          <x:t xml:space="preserve"/>
        </x:is>
      </x:c>
    </x:row>
    <x:row r="24" ht="18" customHeight="1">
      <x:c r="A24" s="12" t="n">
        <x:v>13</x:v>
      </x:c>
      <x:c r="B24" s="13" t="n"/>
      <x:c r="C24" s="14">
        <x:f>IF($B24="","",MAX(0,INT((($B24-$B$5)*1440)+0.000001)))</x:f>
      </x:c>
      <x:c r="D24" s="14">
        <x:f>IF($B24="","",MAX(0,$C24-$B$6))</x:f>
      </x:c>
      <x:c r="E24" s="15">
        <x:f>IF($B24="","",$D24/60)</x:f>
      </x:c>
      <x:c r="F24" s="16" t="inlineStr">
        <x:is>
          <x:t xml:space="preserve"/>
        </x:is>
      </x:c>
    </x:row>
    <x:row r="25" ht="18" customHeight="1">
      <x:c r="A25" s="12" t="n">
        <x:v>14</x:v>
      </x:c>
      <x:c r="B25" s="13" t="n"/>
      <x:c r="C25" s="14">
        <x:f>IF($B25="","",MAX(0,INT((($B25-$B$5)*1440)+0.000001)))</x:f>
      </x:c>
      <x:c r="D25" s="14">
        <x:f>IF($B25="","",MAX(0,$C25-$B$6))</x:f>
      </x:c>
      <x:c r="E25" s="15">
        <x:f>IF($B25="","",$D25/60)</x:f>
      </x:c>
      <x:c r="F25" s="16" t="inlineStr">
        <x:is>
          <x:t xml:space="preserve"/>
        </x:is>
      </x:c>
    </x:row>
    <x:row r="26" ht="18" customHeight="1">
      <x:c r="A26" s="12" t="n">
        <x:v>15</x:v>
      </x:c>
      <x:c r="B26" s="13" t="n"/>
      <x:c r="C26" s="14">
        <x:f>IF($B26="","",MAX(0,INT((($B26-$B$5)*1440)+0.000001)))</x:f>
      </x:c>
      <x:c r="D26" s="14">
        <x:f>IF($B26="","",MAX(0,$C26-$B$6))</x:f>
      </x:c>
      <x:c r="E26" s="15">
        <x:f>IF($B26="","",$D26/60)</x:f>
      </x:c>
      <x:c r="F26" s="16" t="inlineStr">
        <x:is>
          <x:t xml:space="preserve"/>
        </x:is>
      </x:c>
    </x:row>
    <x:row r="27" ht="18" customHeight="1">
      <x:c r="A27" s="12" t="n">
        <x:v>16</x:v>
      </x:c>
      <x:c r="B27" s="13" t="n"/>
      <x:c r="C27" s="14">
        <x:f>IF($B27="","",MAX(0,INT((($B27-$B$5)*1440)+0.000001)))</x:f>
      </x:c>
      <x:c r="D27" s="14">
        <x:f>IF($B27="","",MAX(0,$C27-$B$6))</x:f>
      </x:c>
      <x:c r="E27" s="15">
        <x:f>IF($B27="","",$D27/60)</x:f>
      </x:c>
      <x:c r="F27" s="16" t="inlineStr">
        <x:is>
          <x:t xml:space="preserve"/>
        </x:is>
      </x:c>
    </x:row>
    <x:row r="28" ht="18" customHeight="1">
      <x:c r="A28" s="12" t="n">
        <x:v>17</x:v>
      </x:c>
      <x:c r="B28" s="13" t="n"/>
      <x:c r="C28" s="14">
        <x:f>IF($B28="","",MAX(0,INT((($B28-$B$5)*1440)+0.000001)))</x:f>
      </x:c>
      <x:c r="D28" s="14">
        <x:f>IF($B28="","",MAX(0,$C28-$B$6))</x:f>
      </x:c>
      <x:c r="E28" s="15">
        <x:f>IF($B28="","",$D28/60)</x:f>
      </x:c>
      <x:c r="F28" s="16" t="inlineStr">
        <x:is>
          <x:t xml:space="preserve"/>
        </x:is>
      </x:c>
    </x:row>
    <x:row r="29" ht="18" customHeight="1">
      <x:c r="A29" s="12" t="n">
        <x:v>18</x:v>
      </x:c>
      <x:c r="B29" s="13" t="n"/>
      <x:c r="C29" s="14">
        <x:f>IF($B29="","",MAX(0,INT((($B29-$B$5)*1440)+0.000001)))</x:f>
      </x:c>
      <x:c r="D29" s="14">
        <x:f>IF($B29="","",MAX(0,$C29-$B$6))</x:f>
      </x:c>
      <x:c r="E29" s="15">
        <x:f>IF($B29="","",$D29/60)</x:f>
      </x:c>
      <x:c r="F29" s="16" t="inlineStr">
        <x:is>
          <x:t xml:space="preserve"/>
        </x:is>
      </x:c>
    </x:row>
    <x:row r="30" ht="18" customHeight="1">
      <x:c r="A30" s="12" t="n">
        <x:v>19</x:v>
      </x:c>
      <x:c r="B30" s="13" t="n"/>
      <x:c r="C30" s="14">
        <x:f>IF($B30="","",MAX(0,INT((($B30-$B$5)*1440)+0.000001)))</x:f>
      </x:c>
      <x:c r="D30" s="14">
        <x:f>IF($B30="","",MAX(0,$C30-$B$6))</x:f>
      </x:c>
      <x:c r="E30" s="15">
        <x:f>IF($B30="","",$D30/60)</x:f>
      </x:c>
      <x:c r="F30" s="16" t="inlineStr">
        <x:is>
          <x:t xml:space="preserve"/>
        </x:is>
      </x:c>
    </x:row>
    <x:row r="31" ht="18" customHeight="1">
      <x:c r="A31" s="12" t="n">
        <x:v>20</x:v>
      </x:c>
      <x:c r="B31" s="13" t="n"/>
      <x:c r="C31" s="14">
        <x:f>IF($B31="","",MAX(0,INT((($B31-$B$5)*1440)+0.000001)))</x:f>
      </x:c>
      <x:c r="D31" s="14">
        <x:f>IF($B31="","",MAX(0,$C31-$B$6))</x:f>
      </x:c>
      <x:c r="E31" s="15">
        <x:f>IF($B31="","",$D31/60)</x:f>
      </x:c>
      <x:c r="F31" s="16" t="inlineStr">
        <x:is>
          <x:t xml:space="preserve"/>
        </x:is>
      </x:c>
    </x:row>
    <x:row r="32" ht="18" customHeight="1">
      <x:c r="A32" s="12" t="n">
        <x:v>21</x:v>
      </x:c>
      <x:c r="B32" s="13" t="n"/>
      <x:c r="C32" s="14">
        <x:f>IF($B32="","",MAX(0,INT((($B32-$B$5)*1440)+0.000001)))</x:f>
      </x:c>
      <x:c r="D32" s="14">
        <x:f>IF($B32="","",MAX(0,$C32-$B$6))</x:f>
      </x:c>
      <x:c r="E32" s="15">
        <x:f>IF($B32="","",$D32/60)</x:f>
      </x:c>
      <x:c r="F32" s="16" t="inlineStr">
        <x:is>
          <x:t xml:space="preserve"/>
        </x:is>
      </x:c>
    </x:row>
    <x:row r="33" ht="18" customHeight="1">
      <x:c r="A33" s="12" t="n">
        <x:v>22</x:v>
      </x:c>
      <x:c r="B33" s="13" t="n"/>
      <x:c r="C33" s="14">
        <x:f>IF($B33="","",MAX(0,INT((($B33-$B$5)*1440)+0.000001)))</x:f>
      </x:c>
      <x:c r="D33" s="14">
        <x:f>IF($B33="","",MAX(0,$C33-$B$6))</x:f>
      </x:c>
      <x:c r="E33" s="15">
        <x:f>IF($B33="","",$D33/60)</x:f>
      </x:c>
      <x:c r="F33" s="16" t="inlineStr">
        <x:is>
          <x:t xml:space="preserve"/>
        </x:is>
      </x:c>
    </x:row>
    <x:row r="34" ht="18" customHeight="1">
      <x:c r="A34" s="12" t="n">
        <x:v>23</x:v>
      </x:c>
      <x:c r="B34" s="13" t="n"/>
      <x:c r="C34" s="14">
        <x:f>IF($B34="","",MAX(0,INT((($B34-$B$5)*1440)+0.000001)))</x:f>
      </x:c>
      <x:c r="D34" s="14">
        <x:f>IF($B34="","",MAX(0,$C34-$B$6))</x:f>
      </x:c>
      <x:c r="E34" s="15">
        <x:f>IF($B34="","",$D34/60)</x:f>
      </x:c>
      <x:c r="F34" s="16" t="inlineStr">
        <x:is>
          <x:t xml:space="preserve"/>
        </x:is>
      </x:c>
    </x:row>
    <x:row r="35" ht="18" customHeight="1">
      <x:c r="A35" s="12" t="n">
        <x:v>24</x:v>
      </x:c>
      <x:c r="B35" s="13" t="n"/>
      <x:c r="C35" s="14">
        <x:f>IF($B35="","",MAX(0,INT((($B35-$B$5)*1440)+0.000001)))</x:f>
      </x:c>
      <x:c r="D35" s="14">
        <x:f>IF($B35="","",MAX(0,$C35-$B$6))</x:f>
      </x:c>
      <x:c r="E35" s="15">
        <x:f>IF($B35="","",$D35/60)</x:f>
      </x:c>
      <x:c r="F35" s="16" t="inlineStr">
        <x:is>
          <x:t xml:space="preserve"/>
        </x:is>
      </x:c>
    </x:row>
    <x:row r="36" ht="18" customHeight="1">
      <x:c r="A36" s="12" t="n">
        <x:v>25</x:v>
      </x:c>
      <x:c r="B36" s="13" t="n"/>
      <x:c r="C36" s="14">
        <x:f>IF($B36="","",MAX(0,INT((($B36-$B$5)*1440)+0.000001)))</x:f>
      </x:c>
      <x:c r="D36" s="14">
        <x:f>IF($B36="","",MAX(0,$C36-$B$6))</x:f>
      </x:c>
      <x:c r="E36" s="15">
        <x:f>IF($B36="","",$D36/60)</x:f>
      </x:c>
      <x:c r="F36" s="16" t="inlineStr">
        <x:is>
          <x:t xml:space="preserve"/>
        </x:is>
      </x:c>
    </x:row>
    <x:row r="37" ht="18" customHeight="1">
      <x:c r="A37" s="12" t="n">
        <x:v>26</x:v>
      </x:c>
      <x:c r="B37" s="13" t="n"/>
      <x:c r="C37" s="14">
        <x:f>IF($B37="","",MAX(0,INT((($B37-$B$5)*1440)+0.000001)))</x:f>
      </x:c>
      <x:c r="D37" s="14">
        <x:f>IF($B37="","",MAX(0,$C37-$B$6))</x:f>
      </x:c>
      <x:c r="E37" s="15">
        <x:f>IF($B37="","",$D37/60)</x:f>
      </x:c>
      <x:c r="F37" s="16" t="inlineStr">
        <x:is>
          <x:t xml:space="preserve"/>
        </x:is>
      </x:c>
    </x:row>
    <x:row r="38" ht="18" customHeight="1">
      <x:c r="A38" s="12" t="n">
        <x:v>27</x:v>
      </x:c>
      <x:c r="B38" s="13" t="n"/>
      <x:c r="C38" s="14">
        <x:f>IF($B38="","",MAX(0,INT((($B38-$B$5)*1440)+0.000001)))</x:f>
      </x:c>
      <x:c r="D38" s="14">
        <x:f>IF($B38="","",MAX(0,$C38-$B$6))</x:f>
      </x:c>
      <x:c r="E38" s="15">
        <x:f>IF($B38="","",$D38/60)</x:f>
      </x:c>
      <x:c r="F38" s="16" t="inlineStr">
        <x:is>
          <x:t xml:space="preserve"/>
        </x:is>
      </x:c>
    </x:row>
    <x:row r="39" ht="18" customHeight="1">
      <x:c r="A39" s="12" t="n">
        <x:v>28</x:v>
      </x:c>
      <x:c r="B39" s="13" t="n"/>
      <x:c r="C39" s="14">
        <x:f>IF($B39="","",MAX(0,INT((($B39-$B$5)*1440)+0.000001)))</x:f>
      </x:c>
      <x:c r="D39" s="14">
        <x:f>IF($B39="","",MAX(0,$C39-$B$6))</x:f>
      </x:c>
      <x:c r="E39" s="15">
        <x:f>IF($B39="","",$D39/60)</x:f>
      </x:c>
      <x:c r="F39" s="16" t="inlineStr">
        <x:is>
          <x:t xml:space="preserve"/>
        </x:is>
      </x:c>
    </x:row>
    <x:row r="40" ht="18" customHeight="1">
      <x:c r="A40" s="12" t="n">
        <x:v>29</x:v>
      </x:c>
      <x:c r="B40" s="13" t="n"/>
      <x:c r="C40" s="14">
        <x:f>IF($B40="","",MAX(0,INT((($B40-$B$5)*1440)+0.000001)))</x:f>
      </x:c>
      <x:c r="D40" s="14">
        <x:f>IF($B40="","",MAX(0,$C40-$B$6))</x:f>
      </x:c>
      <x:c r="E40" s="15">
        <x:f>IF($B40="","",$D40/60)</x:f>
      </x:c>
      <x:c r="F40" s="16" t="inlineStr">
        <x:is>
          <x:t xml:space="preserve"/>
        </x:is>
      </x:c>
    </x:row>
    <x:row r="41" ht="18" customHeight="1">
      <x:c r="A41" s="12" t="n">
        <x:v>30</x:v>
      </x:c>
      <x:c r="B41" s="13" t="n"/>
      <x:c r="C41" s="14">
        <x:f>IF($B41="","",MAX(0,INT((($B41-$B$5)*1440)+0.000001)))</x:f>
      </x:c>
      <x:c r="D41" s="14">
        <x:f>IF($B41="","",MAX(0,$C41-$B$6))</x:f>
      </x:c>
      <x:c r="E41" s="15">
        <x:f>IF($B41="","",$D41/60)</x:f>
      </x:c>
      <x:c r="F41" s="16" t="inlineStr">
        <x:is>
          <x:t xml:space="preserve"/>
        </x:is>
      </x:c>
    </x:row>
    <x:row r="42" ht="18" customHeight="1">
      <x:c r="A42" s="12" t="n">
        <x:v>31</x:v>
      </x:c>
      <x:c r="B42" s="13" t="n"/>
      <x:c r="C42" s="14">
        <x:f>IF($B42="","",MAX(0,INT((($B42-$B$5)*1440)+0.000001)))</x:f>
      </x:c>
      <x:c r="D42" s="14">
        <x:f>IF($B42="","",MAX(0,$C42-$B$6))</x:f>
      </x:c>
      <x:c r="E42" s="15">
        <x:f>IF($B42="","",$D42/60)</x:f>
      </x:c>
      <x:c r="F42" s="16" t="inlineStr">
        <x:is>
          <x:t xml:space="preserve"/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customWidth="1"/>
    <x:col min="2" max="2" width="16" customWidth="1"/>
    <x:col min="3" max="3" width="14" customWidth="1"/>
    <x:col min="4" max="4" width="18" customWidth="1"/>
    <x:col min="5" max="5" width="16" customWidth="1"/>
    <x:col min="6" max="6" width="22" customWidth="1"/>
  </x:cols>
  <x:sheetData>
    <x:row r="1" ht="26" customHeight="1">
      <x:c r="A1" s="1" t="inlineStr">
        <x:is>
          <x:t xml:space="preserve">7月｜全勤獎金按實際上班時數比例計算</x:t>
        </x:is>
      </x:c>
    </x:row>
    <x:row r="2" ht="34" customHeight="1">
      <x:c r="A2" s="2" t="inlineStr">
        <x:is>
          <x:t xml:space="preserve">說明：打卡時間輸入在「上班打卡」欄。遲到先以(打卡-基準)算分鐘；前「免計分鐘」不扣，從第31分鐘起才開始計入。</x:t>
        </x:is>
      </x:c>
    </x:row>
    <x:row r="3">
      <x:c r="A3" s="3" t="inlineStr">
        <x:is>
          <x:t xml:space="preserve">全勤獎金(元)</x:t>
        </x:is>
      </x:c>
      <x:c r="B3" s="4" t="n">
        <x:v>1000</x:v>
      </x:c>
      <x:c r="D3" s="3" t="inlineStr">
        <x:is>
          <x:t xml:space="preserve">本月全勤扣除(元)</x:t>
        </x:is>
      </x:c>
      <x:c r="E3" s="5">
        <x:f>ROUND($B$3-$B$10,2)</x:f>
        <x:v>0</x:v>
      </x:c>
    </x:row>
    <x:row r="4">
      <x:c r="A4" s="3" t="inlineStr">
        <x:is>
          <x:t xml:space="preserve">應上班時數(小時)</x:t>
        </x:is>
      </x:c>
      <x:c r="B4" s="6" t="n">
        <x:v>184</x:v>
      </x:c>
    </x:row>
    <x:row r="5">
      <x:c r="A5" s="3" t="inlineStr">
        <x:is>
          <x:t xml:space="preserve">上班時間(基準)</x:t>
        </x:is>
      </x:c>
      <x:c r="B5" s="7" t="n">
        <x:v>0.3541666666666667</x:v>
      </x:c>
    </x:row>
    <x:row r="6">
      <x:c r="A6" s="3" t="inlineStr">
        <x:is>
          <x:t xml:space="preserve">遲到免計(分鐘)</x:t>
        </x:is>
      </x:c>
      <x:c r="B6" s="8" t="n">
        <x:v>30</x:v>
      </x:c>
    </x:row>
    <x:row r="7">
      <x:c r="A7" s="3" t="inlineStr">
        <x:is>
          <x:t xml:space="preserve">合計有效遲到(分鐘)</x:t>
        </x:is>
      </x:c>
      <x:c r="B7" s="9">
        <x:f>SUM($D$12:$D$42)</x:f>
        <x:v>0</x:v>
      </x:c>
    </x:row>
    <x:row r="8">
      <x:c r="A8" s="3" t="inlineStr">
        <x:is>
          <x:t xml:space="preserve">合計有效遲到(小時)</x:t>
        </x:is>
      </x:c>
      <x:c r="B8" s="10">
        <x:f>$B$7/60</x:f>
        <x:v>0</x:v>
      </x:c>
    </x:row>
    <x:row r="9">
      <x:c r="A9" s="3" t="inlineStr">
        <x:is>
          <x:t xml:space="preserve">實際上班時數(小時)</x:t>
        </x:is>
      </x:c>
      <x:c r="B9" s="10">
        <x:f>MAX(0,$B$4-$B$8)</x:f>
        <x:v>184</x:v>
      </x:c>
    </x:row>
    <x:row r="10">
      <x:c r="A10" s="3" t="inlineStr">
        <x:is>
          <x:t xml:space="preserve">本月全勤實領(元)</x:t>
        </x:is>
      </x:c>
      <x:c r="B10" s="5">
        <x:f>ROUND($B$3*($B$9/$B$4),2)</x:f>
        <x:v>1000</x:v>
      </x:c>
    </x:row>
    <x:row r="11" ht="20" customHeight="1">
      <x:c r="A11" s="11" t="inlineStr">
        <x:is>
          <x:t xml:space="preserve">日</x:t>
        </x:is>
      </x:c>
      <x:c r="B11" s="11" t="inlineStr">
        <x:is>
          <x:t xml:space="preserve">上班打卡</x:t>
        </x:is>
      </x:c>
      <x:c r="C11" s="11" t="inlineStr">
        <x:is>
          <x:t xml:space="preserve">原始遲到(分)</x:t>
        </x:is>
      </x:c>
      <x:c r="D11" s="11" t="inlineStr">
        <x:is>
          <x:t xml:space="preserve">計入遲到(分)</x:t>
        </x:is>
      </x:c>
      <x:c r="E11" s="11" t="inlineStr">
        <x:is>
          <x:t xml:space="preserve">計入遲到(時)</x:t>
        </x:is>
      </x:c>
      <x:c r="F11" s="11" t="inlineStr">
        <x:is>
          <x:t xml:space="preserve">備註</x:t>
        </x:is>
      </x:c>
    </x:row>
    <x:row r="12" ht="18" customHeight="1">
      <x:c r="A12" s="12" t="n">
        <x:v>1</x:v>
      </x:c>
      <x:c r="B12" s="13" t="n"/>
      <x:c r="C12" s="14">
        <x:f>IF($B12="","",MAX(0,INT((($B12-$B$5)*1440)+0.000001)))</x:f>
      </x:c>
      <x:c r="D12" s="14">
        <x:f>IF($B12="","",MAX(0,$C12-$B$6))</x:f>
      </x:c>
      <x:c r="E12" s="15">
        <x:f>IF($B12="","",$D12/60)</x:f>
      </x:c>
      <x:c r="F12" s="16" t="inlineStr">
        <x:is>
          <x:t xml:space="preserve"/>
        </x:is>
      </x:c>
    </x:row>
    <x:row r="13" ht="18" customHeight="1">
      <x:c r="A13" s="12" t="n">
        <x:v>2</x:v>
      </x:c>
      <x:c r="B13" s="13" t="n"/>
      <x:c r="C13" s="14">
        <x:f>IF($B13="","",MAX(0,INT((($B13-$B$5)*1440)+0.000001)))</x:f>
      </x:c>
      <x:c r="D13" s="14">
        <x:f>IF($B13="","",MAX(0,$C13-$B$6))</x:f>
      </x:c>
      <x:c r="E13" s="15">
        <x:f>IF($B13="","",$D13/60)</x:f>
      </x:c>
      <x:c r="F13" s="16" t="inlineStr">
        <x:is>
          <x:t xml:space="preserve"/>
        </x:is>
      </x:c>
    </x:row>
    <x:row r="14" ht="18" customHeight="1">
      <x:c r="A14" s="12" t="n">
        <x:v>3</x:v>
      </x:c>
      <x:c r="B14" s="13" t="n"/>
      <x:c r="C14" s="14">
        <x:f>IF($B14="","",MAX(0,INT((($B14-$B$5)*1440)+0.000001)))</x:f>
      </x:c>
      <x:c r="D14" s="14">
        <x:f>IF($B14="","",MAX(0,$C14-$B$6))</x:f>
      </x:c>
      <x:c r="E14" s="15">
        <x:f>IF($B14="","",$D14/60)</x:f>
      </x:c>
      <x:c r="F14" s="16" t="inlineStr">
        <x:is>
          <x:t xml:space="preserve"/>
        </x:is>
      </x:c>
    </x:row>
    <x:row r="15" ht="18" customHeight="1">
      <x:c r="A15" s="12" t="n">
        <x:v>4</x:v>
      </x:c>
      <x:c r="B15" s="13" t="n"/>
      <x:c r="C15" s="14">
        <x:f>IF($B15="","",MAX(0,INT((($B15-$B$5)*1440)+0.000001)))</x:f>
      </x:c>
      <x:c r="D15" s="14">
        <x:f>IF($B15="","",MAX(0,$C15-$B$6))</x:f>
      </x:c>
      <x:c r="E15" s="15">
        <x:f>IF($B15="","",$D15/60)</x:f>
      </x:c>
      <x:c r="F15" s="16" t="inlineStr">
        <x:is>
          <x:t xml:space="preserve"/>
        </x:is>
      </x:c>
    </x:row>
    <x:row r="16" ht="18" customHeight="1">
      <x:c r="A16" s="12" t="n">
        <x:v>5</x:v>
      </x:c>
      <x:c r="B16" s="13" t="n"/>
      <x:c r="C16" s="14">
        <x:f>IF($B16="","",MAX(0,INT((($B16-$B$5)*1440)+0.000001)))</x:f>
      </x:c>
      <x:c r="D16" s="14">
        <x:f>IF($B16="","",MAX(0,$C16-$B$6))</x:f>
      </x:c>
      <x:c r="E16" s="15">
        <x:f>IF($B16="","",$D16/60)</x:f>
      </x:c>
      <x:c r="F16" s="16" t="inlineStr">
        <x:is>
          <x:t xml:space="preserve"/>
        </x:is>
      </x:c>
    </x:row>
    <x:row r="17" ht="18" customHeight="1">
      <x:c r="A17" s="12" t="n">
        <x:v>6</x:v>
      </x:c>
      <x:c r="B17" s="13" t="n"/>
      <x:c r="C17" s="14">
        <x:f>IF($B17="","",MAX(0,INT((($B17-$B$5)*1440)+0.000001)))</x:f>
      </x:c>
      <x:c r="D17" s="14">
        <x:f>IF($B17="","",MAX(0,$C17-$B$6))</x:f>
      </x:c>
      <x:c r="E17" s="15">
        <x:f>IF($B17="","",$D17/60)</x:f>
      </x:c>
      <x:c r="F17" s="16" t="inlineStr">
        <x:is>
          <x:t xml:space="preserve"/>
        </x:is>
      </x:c>
    </x:row>
    <x:row r="18" ht="18" customHeight="1">
      <x:c r="A18" s="12" t="n">
        <x:v>7</x:v>
      </x:c>
      <x:c r="B18" s="13" t="n"/>
      <x:c r="C18" s="14">
        <x:f>IF($B18="","",MAX(0,INT((($B18-$B$5)*1440)+0.000001)))</x:f>
      </x:c>
      <x:c r="D18" s="14">
        <x:f>IF($B18="","",MAX(0,$C18-$B$6))</x:f>
      </x:c>
      <x:c r="E18" s="15">
        <x:f>IF($B18="","",$D18/60)</x:f>
      </x:c>
      <x:c r="F18" s="16" t="inlineStr">
        <x:is>
          <x:t xml:space="preserve"/>
        </x:is>
      </x:c>
    </x:row>
    <x:row r="19" ht="18" customHeight="1">
      <x:c r="A19" s="12" t="n">
        <x:v>8</x:v>
      </x:c>
      <x:c r="B19" s="13" t="n"/>
      <x:c r="C19" s="14">
        <x:f>IF($B19="","",MAX(0,INT((($B19-$B$5)*1440)+0.000001)))</x:f>
      </x:c>
      <x:c r="D19" s="14">
        <x:f>IF($B19="","",MAX(0,$C19-$B$6))</x:f>
      </x:c>
      <x:c r="E19" s="15">
        <x:f>IF($B19="","",$D19/60)</x:f>
      </x:c>
      <x:c r="F19" s="16" t="inlineStr">
        <x:is>
          <x:t xml:space="preserve"/>
        </x:is>
      </x:c>
    </x:row>
    <x:row r="20" ht="18" customHeight="1">
      <x:c r="A20" s="12" t="n">
        <x:v>9</x:v>
      </x:c>
      <x:c r="B20" s="13" t="n"/>
      <x:c r="C20" s="14">
        <x:f>IF($B20="","",MAX(0,INT((($B20-$B$5)*1440)+0.000001)))</x:f>
      </x:c>
      <x:c r="D20" s="14">
        <x:f>IF($B20="","",MAX(0,$C20-$B$6))</x:f>
      </x:c>
      <x:c r="E20" s="15">
        <x:f>IF($B20="","",$D20/60)</x:f>
      </x:c>
      <x:c r="F20" s="16" t="inlineStr">
        <x:is>
          <x:t xml:space="preserve"/>
        </x:is>
      </x:c>
    </x:row>
    <x:row r="21" ht="18" customHeight="1">
      <x:c r="A21" s="12" t="n">
        <x:v>10</x:v>
      </x:c>
      <x:c r="B21" s="13" t="n"/>
      <x:c r="C21" s="14">
        <x:f>IF($B21="","",MAX(0,INT((($B21-$B$5)*1440)+0.000001)))</x:f>
      </x:c>
      <x:c r="D21" s="14">
        <x:f>IF($B21="","",MAX(0,$C21-$B$6))</x:f>
      </x:c>
      <x:c r="E21" s="15">
        <x:f>IF($B21="","",$D21/60)</x:f>
      </x:c>
      <x:c r="F21" s="16" t="inlineStr">
        <x:is>
          <x:t xml:space="preserve"/>
        </x:is>
      </x:c>
    </x:row>
    <x:row r="22" ht="18" customHeight="1">
      <x:c r="A22" s="12" t="n">
        <x:v>11</x:v>
      </x:c>
      <x:c r="B22" s="13" t="n"/>
      <x:c r="C22" s="14">
        <x:f>IF($B22="","",MAX(0,INT((($B22-$B$5)*1440)+0.000001)))</x:f>
      </x:c>
      <x:c r="D22" s="14">
        <x:f>IF($B22="","",MAX(0,$C22-$B$6))</x:f>
      </x:c>
      <x:c r="E22" s="15">
        <x:f>IF($B22="","",$D22/60)</x:f>
      </x:c>
      <x:c r="F22" s="16" t="inlineStr">
        <x:is>
          <x:t xml:space="preserve"/>
        </x:is>
      </x:c>
    </x:row>
    <x:row r="23" ht="18" customHeight="1">
      <x:c r="A23" s="12" t="n">
        <x:v>12</x:v>
      </x:c>
      <x:c r="B23" s="13" t="n"/>
      <x:c r="C23" s="14">
        <x:f>IF($B23="","",MAX(0,INT((($B23-$B$5)*1440)+0.000001)))</x:f>
      </x:c>
      <x:c r="D23" s="14">
        <x:f>IF($B23="","",MAX(0,$C23-$B$6))</x:f>
      </x:c>
      <x:c r="E23" s="15">
        <x:f>IF($B23="","",$D23/60)</x:f>
      </x:c>
      <x:c r="F23" s="16" t="inlineStr">
        <x:is>
          <x:t xml:space="preserve"/>
        </x:is>
      </x:c>
    </x:row>
    <x:row r="24" ht="18" customHeight="1">
      <x:c r="A24" s="12" t="n">
        <x:v>13</x:v>
      </x:c>
      <x:c r="B24" s="13" t="n"/>
      <x:c r="C24" s="14">
        <x:f>IF($B24="","",MAX(0,INT((($B24-$B$5)*1440)+0.000001)))</x:f>
      </x:c>
      <x:c r="D24" s="14">
        <x:f>IF($B24="","",MAX(0,$C24-$B$6))</x:f>
      </x:c>
      <x:c r="E24" s="15">
        <x:f>IF($B24="","",$D24/60)</x:f>
      </x:c>
      <x:c r="F24" s="16" t="inlineStr">
        <x:is>
          <x:t xml:space="preserve"/>
        </x:is>
      </x:c>
    </x:row>
    <x:row r="25" ht="18" customHeight="1">
      <x:c r="A25" s="12" t="n">
        <x:v>14</x:v>
      </x:c>
      <x:c r="B25" s="13" t="n"/>
      <x:c r="C25" s="14">
        <x:f>IF($B25="","",MAX(0,INT((($B25-$B$5)*1440)+0.000001)))</x:f>
      </x:c>
      <x:c r="D25" s="14">
        <x:f>IF($B25="","",MAX(0,$C25-$B$6))</x:f>
      </x:c>
      <x:c r="E25" s="15">
        <x:f>IF($B25="","",$D25/60)</x:f>
      </x:c>
      <x:c r="F25" s="16" t="inlineStr">
        <x:is>
          <x:t xml:space="preserve"/>
        </x:is>
      </x:c>
    </x:row>
    <x:row r="26" ht="18" customHeight="1">
      <x:c r="A26" s="12" t="n">
        <x:v>15</x:v>
      </x:c>
      <x:c r="B26" s="13" t="n"/>
      <x:c r="C26" s="14">
        <x:f>IF($B26="","",MAX(0,INT((($B26-$B$5)*1440)+0.000001)))</x:f>
      </x:c>
      <x:c r="D26" s="14">
        <x:f>IF($B26="","",MAX(0,$C26-$B$6))</x:f>
      </x:c>
      <x:c r="E26" s="15">
        <x:f>IF($B26="","",$D26/60)</x:f>
      </x:c>
      <x:c r="F26" s="16" t="inlineStr">
        <x:is>
          <x:t xml:space="preserve"/>
        </x:is>
      </x:c>
    </x:row>
    <x:row r="27" ht="18" customHeight="1">
      <x:c r="A27" s="12" t="n">
        <x:v>16</x:v>
      </x:c>
      <x:c r="B27" s="13" t="n"/>
      <x:c r="C27" s="14">
        <x:f>IF($B27="","",MAX(0,INT((($B27-$B$5)*1440)+0.000001)))</x:f>
      </x:c>
      <x:c r="D27" s="14">
        <x:f>IF($B27="","",MAX(0,$C27-$B$6))</x:f>
      </x:c>
      <x:c r="E27" s="15">
        <x:f>IF($B27="","",$D27/60)</x:f>
      </x:c>
      <x:c r="F27" s="16" t="inlineStr">
        <x:is>
          <x:t xml:space="preserve"/>
        </x:is>
      </x:c>
    </x:row>
    <x:row r="28" ht="18" customHeight="1">
      <x:c r="A28" s="12" t="n">
        <x:v>17</x:v>
      </x:c>
      <x:c r="B28" s="13" t="n"/>
      <x:c r="C28" s="14">
        <x:f>IF($B28="","",MAX(0,INT((($B28-$B$5)*1440)+0.000001)))</x:f>
      </x:c>
      <x:c r="D28" s="14">
        <x:f>IF($B28="","",MAX(0,$C28-$B$6))</x:f>
      </x:c>
      <x:c r="E28" s="15">
        <x:f>IF($B28="","",$D28/60)</x:f>
      </x:c>
      <x:c r="F28" s="16" t="inlineStr">
        <x:is>
          <x:t xml:space="preserve"/>
        </x:is>
      </x:c>
    </x:row>
    <x:row r="29" ht="18" customHeight="1">
      <x:c r="A29" s="12" t="n">
        <x:v>18</x:v>
      </x:c>
      <x:c r="B29" s="13" t="n"/>
      <x:c r="C29" s="14">
        <x:f>IF($B29="","",MAX(0,INT((($B29-$B$5)*1440)+0.000001)))</x:f>
      </x:c>
      <x:c r="D29" s="14">
        <x:f>IF($B29="","",MAX(0,$C29-$B$6))</x:f>
      </x:c>
      <x:c r="E29" s="15">
        <x:f>IF($B29="","",$D29/60)</x:f>
      </x:c>
      <x:c r="F29" s="16" t="inlineStr">
        <x:is>
          <x:t xml:space="preserve"/>
        </x:is>
      </x:c>
    </x:row>
    <x:row r="30" ht="18" customHeight="1">
      <x:c r="A30" s="12" t="n">
        <x:v>19</x:v>
      </x:c>
      <x:c r="B30" s="13" t="n"/>
      <x:c r="C30" s="14">
        <x:f>IF($B30="","",MAX(0,INT((($B30-$B$5)*1440)+0.000001)))</x:f>
      </x:c>
      <x:c r="D30" s="14">
        <x:f>IF($B30="","",MAX(0,$C30-$B$6))</x:f>
      </x:c>
      <x:c r="E30" s="15">
        <x:f>IF($B30="","",$D30/60)</x:f>
      </x:c>
      <x:c r="F30" s="16" t="inlineStr">
        <x:is>
          <x:t xml:space="preserve"/>
        </x:is>
      </x:c>
    </x:row>
    <x:row r="31" ht="18" customHeight="1">
      <x:c r="A31" s="12" t="n">
        <x:v>20</x:v>
      </x:c>
      <x:c r="B31" s="13" t="n"/>
      <x:c r="C31" s="14">
        <x:f>IF($B31="","",MAX(0,INT((($B31-$B$5)*1440)+0.000001)))</x:f>
      </x:c>
      <x:c r="D31" s="14">
        <x:f>IF($B31="","",MAX(0,$C31-$B$6))</x:f>
      </x:c>
      <x:c r="E31" s="15">
        <x:f>IF($B31="","",$D31/60)</x:f>
      </x:c>
      <x:c r="F31" s="16" t="inlineStr">
        <x:is>
          <x:t xml:space="preserve"/>
        </x:is>
      </x:c>
    </x:row>
    <x:row r="32" ht="18" customHeight="1">
      <x:c r="A32" s="12" t="n">
        <x:v>21</x:v>
      </x:c>
      <x:c r="B32" s="13" t="n"/>
      <x:c r="C32" s="14">
        <x:f>IF($B32="","",MAX(0,INT((($B32-$B$5)*1440)+0.000001)))</x:f>
      </x:c>
      <x:c r="D32" s="14">
        <x:f>IF($B32="","",MAX(0,$C32-$B$6))</x:f>
      </x:c>
      <x:c r="E32" s="15">
        <x:f>IF($B32="","",$D32/60)</x:f>
      </x:c>
      <x:c r="F32" s="16" t="inlineStr">
        <x:is>
          <x:t xml:space="preserve"/>
        </x:is>
      </x:c>
    </x:row>
    <x:row r="33" ht="18" customHeight="1">
      <x:c r="A33" s="12" t="n">
        <x:v>22</x:v>
      </x:c>
      <x:c r="B33" s="13" t="n"/>
      <x:c r="C33" s="14">
        <x:f>IF($B33="","",MAX(0,INT((($B33-$B$5)*1440)+0.000001)))</x:f>
      </x:c>
      <x:c r="D33" s="14">
        <x:f>IF($B33="","",MAX(0,$C33-$B$6))</x:f>
      </x:c>
      <x:c r="E33" s="15">
        <x:f>IF($B33="","",$D33/60)</x:f>
      </x:c>
      <x:c r="F33" s="16" t="inlineStr">
        <x:is>
          <x:t xml:space="preserve"/>
        </x:is>
      </x:c>
    </x:row>
    <x:row r="34" ht="18" customHeight="1">
      <x:c r="A34" s="12" t="n">
        <x:v>23</x:v>
      </x:c>
      <x:c r="B34" s="13" t="n"/>
      <x:c r="C34" s="14">
        <x:f>IF($B34="","",MAX(0,INT((($B34-$B$5)*1440)+0.000001)))</x:f>
      </x:c>
      <x:c r="D34" s="14">
        <x:f>IF($B34="","",MAX(0,$C34-$B$6))</x:f>
      </x:c>
      <x:c r="E34" s="15">
        <x:f>IF($B34="","",$D34/60)</x:f>
      </x:c>
      <x:c r="F34" s="16" t="inlineStr">
        <x:is>
          <x:t xml:space="preserve"/>
        </x:is>
      </x:c>
    </x:row>
    <x:row r="35" ht="18" customHeight="1">
      <x:c r="A35" s="12" t="n">
        <x:v>24</x:v>
      </x:c>
      <x:c r="B35" s="13" t="n"/>
      <x:c r="C35" s="14">
        <x:f>IF($B35="","",MAX(0,INT((($B35-$B$5)*1440)+0.000001)))</x:f>
      </x:c>
      <x:c r="D35" s="14">
        <x:f>IF($B35="","",MAX(0,$C35-$B$6))</x:f>
      </x:c>
      <x:c r="E35" s="15">
        <x:f>IF($B35="","",$D35/60)</x:f>
      </x:c>
      <x:c r="F35" s="16" t="inlineStr">
        <x:is>
          <x:t xml:space="preserve"/>
        </x:is>
      </x:c>
    </x:row>
    <x:row r="36" ht="18" customHeight="1">
      <x:c r="A36" s="12" t="n">
        <x:v>25</x:v>
      </x:c>
      <x:c r="B36" s="13" t="n"/>
      <x:c r="C36" s="14">
        <x:f>IF($B36="","",MAX(0,INT((($B36-$B$5)*1440)+0.000001)))</x:f>
      </x:c>
      <x:c r="D36" s="14">
        <x:f>IF($B36="","",MAX(0,$C36-$B$6))</x:f>
      </x:c>
      <x:c r="E36" s="15">
        <x:f>IF($B36="","",$D36/60)</x:f>
      </x:c>
      <x:c r="F36" s="16" t="inlineStr">
        <x:is>
          <x:t xml:space="preserve"/>
        </x:is>
      </x:c>
    </x:row>
    <x:row r="37" ht="18" customHeight="1">
      <x:c r="A37" s="12" t="n">
        <x:v>26</x:v>
      </x:c>
      <x:c r="B37" s="13" t="n"/>
      <x:c r="C37" s="14">
        <x:f>IF($B37="","",MAX(0,INT((($B37-$B$5)*1440)+0.000001)))</x:f>
      </x:c>
      <x:c r="D37" s="14">
        <x:f>IF($B37="","",MAX(0,$C37-$B$6))</x:f>
      </x:c>
      <x:c r="E37" s="15">
        <x:f>IF($B37="","",$D37/60)</x:f>
      </x:c>
      <x:c r="F37" s="16" t="inlineStr">
        <x:is>
          <x:t xml:space="preserve"/>
        </x:is>
      </x:c>
    </x:row>
    <x:row r="38" ht="18" customHeight="1">
      <x:c r="A38" s="12" t="n">
        <x:v>27</x:v>
      </x:c>
      <x:c r="B38" s="13" t="n"/>
      <x:c r="C38" s="14">
        <x:f>IF($B38="","",MAX(0,INT((($B38-$B$5)*1440)+0.000001)))</x:f>
      </x:c>
      <x:c r="D38" s="14">
        <x:f>IF($B38="","",MAX(0,$C38-$B$6))</x:f>
      </x:c>
      <x:c r="E38" s="15">
        <x:f>IF($B38="","",$D38/60)</x:f>
      </x:c>
      <x:c r="F38" s="16" t="inlineStr">
        <x:is>
          <x:t xml:space="preserve"/>
        </x:is>
      </x:c>
    </x:row>
    <x:row r="39" ht="18" customHeight="1">
      <x:c r="A39" s="12" t="n">
        <x:v>28</x:v>
      </x:c>
      <x:c r="B39" s="13" t="n"/>
      <x:c r="C39" s="14">
        <x:f>IF($B39="","",MAX(0,INT((($B39-$B$5)*1440)+0.000001)))</x:f>
      </x:c>
      <x:c r="D39" s="14">
        <x:f>IF($B39="","",MAX(0,$C39-$B$6))</x:f>
      </x:c>
      <x:c r="E39" s="15">
        <x:f>IF($B39="","",$D39/60)</x:f>
      </x:c>
      <x:c r="F39" s="16" t="inlineStr">
        <x:is>
          <x:t xml:space="preserve"/>
        </x:is>
      </x:c>
    </x:row>
    <x:row r="40" ht="18" customHeight="1">
      <x:c r="A40" s="12" t="n">
        <x:v>29</x:v>
      </x:c>
      <x:c r="B40" s="13" t="n"/>
      <x:c r="C40" s="14">
        <x:f>IF($B40="","",MAX(0,INT((($B40-$B$5)*1440)+0.000001)))</x:f>
      </x:c>
      <x:c r="D40" s="14">
        <x:f>IF($B40="","",MAX(0,$C40-$B$6))</x:f>
      </x:c>
      <x:c r="E40" s="15">
        <x:f>IF($B40="","",$D40/60)</x:f>
      </x:c>
      <x:c r="F40" s="16" t="inlineStr">
        <x:is>
          <x:t xml:space="preserve"/>
        </x:is>
      </x:c>
    </x:row>
    <x:row r="41" ht="18" customHeight="1">
      <x:c r="A41" s="12" t="n">
        <x:v>30</x:v>
      </x:c>
      <x:c r="B41" s="13" t="n"/>
      <x:c r="C41" s="14">
        <x:f>IF($B41="","",MAX(0,INT((($B41-$B$5)*1440)+0.000001)))</x:f>
      </x:c>
      <x:c r="D41" s="14">
        <x:f>IF($B41="","",MAX(0,$C41-$B$6))</x:f>
      </x:c>
      <x:c r="E41" s="15">
        <x:f>IF($B41="","",$D41/60)</x:f>
      </x:c>
      <x:c r="F41" s="16" t="inlineStr">
        <x:is>
          <x:t xml:space="preserve"/>
        </x:is>
      </x:c>
    </x:row>
    <x:row r="42" ht="18" customHeight="1">
      <x:c r="A42" s="12" t="n">
        <x:v>31</x:v>
      </x:c>
      <x:c r="B42" s="13" t="n"/>
      <x:c r="C42" s="14">
        <x:f>IF($B42="","",MAX(0,INT((($B42-$B$5)*1440)+0.000001)))</x:f>
      </x:c>
      <x:c r="D42" s="14">
        <x:f>IF($B42="","",MAX(0,$C42-$B$6))</x:f>
      </x:c>
      <x:c r="E42" s="15">
        <x:f>IF($B42="","",$D42/60)</x:f>
      </x:c>
      <x:c r="F42" s="16" t="inlineStr">
        <x:is>
          <x:t xml:space="preserve"/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customWidth="1"/>
    <x:col min="2" max="2" width="16" customWidth="1"/>
    <x:col min="3" max="3" width="14" customWidth="1"/>
    <x:col min="4" max="4" width="18" customWidth="1"/>
    <x:col min="5" max="5" width="16" customWidth="1"/>
    <x:col min="6" max="6" width="22" customWidth="1"/>
  </x:cols>
  <x:sheetData>
    <x:row r="1" ht="26" customHeight="1">
      <x:c r="A1" s="1" t="inlineStr">
        <x:is>
          <x:t xml:space="preserve">8月｜全勤獎金按實際上班時數比例計算</x:t>
        </x:is>
      </x:c>
    </x:row>
    <x:row r="2" ht="34" customHeight="1">
      <x:c r="A2" s="2" t="inlineStr">
        <x:is>
          <x:t xml:space="preserve">說明：打卡時間輸入在「上班打卡」欄。遲到先以(打卡-基準)算分鐘；前「免計分鐘」不扣，從第31分鐘起才開始計入。</x:t>
        </x:is>
      </x:c>
    </x:row>
    <x:row r="3">
      <x:c r="A3" s="3" t="inlineStr">
        <x:is>
          <x:t xml:space="preserve">全勤獎金(元)</x:t>
        </x:is>
      </x:c>
      <x:c r="B3" s="4" t="n">
        <x:v>1000</x:v>
      </x:c>
      <x:c r="D3" s="3" t="inlineStr">
        <x:is>
          <x:t xml:space="preserve">本月全勤扣除(元)</x:t>
        </x:is>
      </x:c>
      <x:c r="E3" s="5">
        <x:f>ROUND($B$3-$B$10,2)</x:f>
        <x:v>0</x:v>
      </x:c>
    </x:row>
    <x:row r="4">
      <x:c r="A4" s="3" t="inlineStr">
        <x:is>
          <x:t xml:space="preserve">應上班時數(小時)</x:t>
        </x:is>
      </x:c>
      <x:c r="B4" s="6" t="n">
        <x:v>184</x:v>
      </x:c>
    </x:row>
    <x:row r="5">
      <x:c r="A5" s="3" t="inlineStr">
        <x:is>
          <x:t xml:space="preserve">上班時間(基準)</x:t>
        </x:is>
      </x:c>
      <x:c r="B5" s="7" t="n">
        <x:v>0.3541666666666667</x:v>
      </x:c>
    </x:row>
    <x:row r="6">
      <x:c r="A6" s="3" t="inlineStr">
        <x:is>
          <x:t xml:space="preserve">遲到免計(分鐘)</x:t>
        </x:is>
      </x:c>
      <x:c r="B6" s="8" t="n">
        <x:v>30</x:v>
      </x:c>
    </x:row>
    <x:row r="7">
      <x:c r="A7" s="3" t="inlineStr">
        <x:is>
          <x:t xml:space="preserve">合計有效遲到(分鐘)</x:t>
        </x:is>
      </x:c>
      <x:c r="B7" s="9">
        <x:f>SUM($D$12:$D$42)</x:f>
        <x:v>0</x:v>
      </x:c>
    </x:row>
    <x:row r="8">
      <x:c r="A8" s="3" t="inlineStr">
        <x:is>
          <x:t xml:space="preserve">合計有效遲到(小時)</x:t>
        </x:is>
      </x:c>
      <x:c r="B8" s="10">
        <x:f>$B$7/60</x:f>
        <x:v>0</x:v>
      </x:c>
    </x:row>
    <x:row r="9">
      <x:c r="A9" s="3" t="inlineStr">
        <x:is>
          <x:t xml:space="preserve">實際上班時數(小時)</x:t>
        </x:is>
      </x:c>
      <x:c r="B9" s="10">
        <x:f>MAX(0,$B$4-$B$8)</x:f>
        <x:v>184</x:v>
      </x:c>
    </x:row>
    <x:row r="10">
      <x:c r="A10" s="3" t="inlineStr">
        <x:is>
          <x:t xml:space="preserve">本月全勤實領(元)</x:t>
        </x:is>
      </x:c>
      <x:c r="B10" s="5">
        <x:f>ROUND($B$3*($B$9/$B$4),2)</x:f>
        <x:v>1000</x:v>
      </x:c>
    </x:row>
    <x:row r="11" ht="20" customHeight="1">
      <x:c r="A11" s="11" t="inlineStr">
        <x:is>
          <x:t xml:space="preserve">日</x:t>
        </x:is>
      </x:c>
      <x:c r="B11" s="11" t="inlineStr">
        <x:is>
          <x:t xml:space="preserve">上班打卡</x:t>
        </x:is>
      </x:c>
      <x:c r="C11" s="11" t="inlineStr">
        <x:is>
          <x:t xml:space="preserve">原始遲到(分)</x:t>
        </x:is>
      </x:c>
      <x:c r="D11" s="11" t="inlineStr">
        <x:is>
          <x:t xml:space="preserve">計入遲到(分)</x:t>
        </x:is>
      </x:c>
      <x:c r="E11" s="11" t="inlineStr">
        <x:is>
          <x:t xml:space="preserve">計入遲到(時)</x:t>
        </x:is>
      </x:c>
      <x:c r="F11" s="11" t="inlineStr">
        <x:is>
          <x:t xml:space="preserve">備註</x:t>
        </x:is>
      </x:c>
    </x:row>
    <x:row r="12" ht="18" customHeight="1">
      <x:c r="A12" s="12" t="n">
        <x:v>1</x:v>
      </x:c>
      <x:c r="B12" s="13" t="n"/>
      <x:c r="C12" s="14">
        <x:f>IF($B12="","",MAX(0,INT((($B12-$B$5)*1440)+0.000001)))</x:f>
      </x:c>
      <x:c r="D12" s="14">
        <x:f>IF($B12="","",MAX(0,$C12-$B$6))</x:f>
      </x:c>
      <x:c r="E12" s="15">
        <x:f>IF($B12="","",$D12/60)</x:f>
      </x:c>
      <x:c r="F12" s="16" t="inlineStr">
        <x:is>
          <x:t xml:space="preserve"/>
        </x:is>
      </x:c>
    </x:row>
    <x:row r="13" ht="18" customHeight="1">
      <x:c r="A13" s="12" t="n">
        <x:v>2</x:v>
      </x:c>
      <x:c r="B13" s="13" t="n"/>
      <x:c r="C13" s="14">
        <x:f>IF($B13="","",MAX(0,INT((($B13-$B$5)*1440)+0.000001)))</x:f>
      </x:c>
      <x:c r="D13" s="14">
        <x:f>IF($B13="","",MAX(0,$C13-$B$6))</x:f>
      </x:c>
      <x:c r="E13" s="15">
        <x:f>IF($B13="","",$D13/60)</x:f>
      </x:c>
      <x:c r="F13" s="16" t="inlineStr">
        <x:is>
          <x:t xml:space="preserve"/>
        </x:is>
      </x:c>
    </x:row>
    <x:row r="14" ht="18" customHeight="1">
      <x:c r="A14" s="12" t="n">
        <x:v>3</x:v>
      </x:c>
      <x:c r="B14" s="13" t="n"/>
      <x:c r="C14" s="14">
        <x:f>IF($B14="","",MAX(0,INT((($B14-$B$5)*1440)+0.000001)))</x:f>
      </x:c>
      <x:c r="D14" s="14">
        <x:f>IF($B14="","",MAX(0,$C14-$B$6))</x:f>
      </x:c>
      <x:c r="E14" s="15">
        <x:f>IF($B14="","",$D14/60)</x:f>
      </x:c>
      <x:c r="F14" s="16" t="inlineStr">
        <x:is>
          <x:t xml:space="preserve"/>
        </x:is>
      </x:c>
    </x:row>
    <x:row r="15" ht="18" customHeight="1">
      <x:c r="A15" s="12" t="n">
        <x:v>4</x:v>
      </x:c>
      <x:c r="B15" s="13" t="n"/>
      <x:c r="C15" s="14">
        <x:f>IF($B15="","",MAX(0,INT((($B15-$B$5)*1440)+0.000001)))</x:f>
      </x:c>
      <x:c r="D15" s="14">
        <x:f>IF($B15="","",MAX(0,$C15-$B$6))</x:f>
      </x:c>
      <x:c r="E15" s="15">
        <x:f>IF($B15="","",$D15/60)</x:f>
      </x:c>
      <x:c r="F15" s="16" t="inlineStr">
        <x:is>
          <x:t xml:space="preserve"/>
        </x:is>
      </x:c>
    </x:row>
    <x:row r="16" ht="18" customHeight="1">
      <x:c r="A16" s="12" t="n">
        <x:v>5</x:v>
      </x:c>
      <x:c r="B16" s="13" t="n"/>
      <x:c r="C16" s="14">
        <x:f>IF($B16="","",MAX(0,INT((($B16-$B$5)*1440)+0.000001)))</x:f>
      </x:c>
      <x:c r="D16" s="14">
        <x:f>IF($B16="","",MAX(0,$C16-$B$6))</x:f>
      </x:c>
      <x:c r="E16" s="15">
        <x:f>IF($B16="","",$D16/60)</x:f>
      </x:c>
      <x:c r="F16" s="16" t="inlineStr">
        <x:is>
          <x:t xml:space="preserve"/>
        </x:is>
      </x:c>
    </x:row>
    <x:row r="17" ht="18" customHeight="1">
      <x:c r="A17" s="12" t="n">
        <x:v>6</x:v>
      </x:c>
      <x:c r="B17" s="13" t="n"/>
      <x:c r="C17" s="14">
        <x:f>IF($B17="","",MAX(0,INT((($B17-$B$5)*1440)+0.000001)))</x:f>
      </x:c>
      <x:c r="D17" s="14">
        <x:f>IF($B17="","",MAX(0,$C17-$B$6))</x:f>
      </x:c>
      <x:c r="E17" s="15">
        <x:f>IF($B17="","",$D17/60)</x:f>
      </x:c>
      <x:c r="F17" s="16" t="inlineStr">
        <x:is>
          <x:t xml:space="preserve"/>
        </x:is>
      </x:c>
    </x:row>
    <x:row r="18" ht="18" customHeight="1">
      <x:c r="A18" s="12" t="n">
        <x:v>7</x:v>
      </x:c>
      <x:c r="B18" s="13" t="n"/>
      <x:c r="C18" s="14">
        <x:f>IF($B18="","",MAX(0,INT((($B18-$B$5)*1440)+0.000001)))</x:f>
      </x:c>
      <x:c r="D18" s="14">
        <x:f>IF($B18="","",MAX(0,$C18-$B$6))</x:f>
      </x:c>
      <x:c r="E18" s="15">
        <x:f>IF($B18="","",$D18/60)</x:f>
      </x:c>
      <x:c r="F18" s="16" t="inlineStr">
        <x:is>
          <x:t xml:space="preserve"/>
        </x:is>
      </x:c>
    </x:row>
    <x:row r="19" ht="18" customHeight="1">
      <x:c r="A19" s="12" t="n">
        <x:v>8</x:v>
      </x:c>
      <x:c r="B19" s="13" t="n"/>
      <x:c r="C19" s="14">
        <x:f>IF($B19="","",MAX(0,INT((($B19-$B$5)*1440)+0.000001)))</x:f>
      </x:c>
      <x:c r="D19" s="14">
        <x:f>IF($B19="","",MAX(0,$C19-$B$6))</x:f>
      </x:c>
      <x:c r="E19" s="15">
        <x:f>IF($B19="","",$D19/60)</x:f>
      </x:c>
      <x:c r="F19" s="16" t="inlineStr">
        <x:is>
          <x:t xml:space="preserve"/>
        </x:is>
      </x:c>
    </x:row>
    <x:row r="20" ht="18" customHeight="1">
      <x:c r="A20" s="12" t="n">
        <x:v>9</x:v>
      </x:c>
      <x:c r="B20" s="13" t="n"/>
      <x:c r="C20" s="14">
        <x:f>IF($B20="","",MAX(0,INT((($B20-$B$5)*1440)+0.000001)))</x:f>
      </x:c>
      <x:c r="D20" s="14">
        <x:f>IF($B20="","",MAX(0,$C20-$B$6))</x:f>
      </x:c>
      <x:c r="E20" s="15">
        <x:f>IF($B20="","",$D20/60)</x:f>
      </x:c>
      <x:c r="F20" s="16" t="inlineStr">
        <x:is>
          <x:t xml:space="preserve"/>
        </x:is>
      </x:c>
    </x:row>
    <x:row r="21" ht="18" customHeight="1">
      <x:c r="A21" s="12" t="n">
        <x:v>10</x:v>
      </x:c>
      <x:c r="B21" s="13" t="n"/>
      <x:c r="C21" s="14">
        <x:f>IF($B21="","",MAX(0,INT((($B21-$B$5)*1440)+0.000001)))</x:f>
      </x:c>
      <x:c r="D21" s="14">
        <x:f>IF($B21="","",MAX(0,$C21-$B$6))</x:f>
      </x:c>
      <x:c r="E21" s="15">
        <x:f>IF($B21="","",$D21/60)</x:f>
      </x:c>
      <x:c r="F21" s="16" t="inlineStr">
        <x:is>
          <x:t xml:space="preserve"/>
        </x:is>
      </x:c>
    </x:row>
    <x:row r="22" ht="18" customHeight="1">
      <x:c r="A22" s="12" t="n">
        <x:v>11</x:v>
      </x:c>
      <x:c r="B22" s="13" t="n"/>
      <x:c r="C22" s="14">
        <x:f>IF($B22="","",MAX(0,INT((($B22-$B$5)*1440)+0.000001)))</x:f>
      </x:c>
      <x:c r="D22" s="14">
        <x:f>IF($B22="","",MAX(0,$C22-$B$6))</x:f>
      </x:c>
      <x:c r="E22" s="15">
        <x:f>IF($B22="","",$D22/60)</x:f>
      </x:c>
      <x:c r="F22" s="16" t="inlineStr">
        <x:is>
          <x:t xml:space="preserve"/>
        </x:is>
      </x:c>
    </x:row>
    <x:row r="23" ht="18" customHeight="1">
      <x:c r="A23" s="12" t="n">
        <x:v>12</x:v>
      </x:c>
      <x:c r="B23" s="13" t="n"/>
      <x:c r="C23" s="14">
        <x:f>IF($B23="","",MAX(0,INT((($B23-$B$5)*1440)+0.000001)))</x:f>
      </x:c>
      <x:c r="D23" s="14">
        <x:f>IF($B23="","",MAX(0,$C23-$B$6))</x:f>
      </x:c>
      <x:c r="E23" s="15">
        <x:f>IF($B23="","",$D23/60)</x:f>
      </x:c>
      <x:c r="F23" s="16" t="inlineStr">
        <x:is>
          <x:t xml:space="preserve"/>
        </x:is>
      </x:c>
    </x:row>
    <x:row r="24" ht="18" customHeight="1">
      <x:c r="A24" s="12" t="n">
        <x:v>13</x:v>
      </x:c>
      <x:c r="B24" s="13" t="n"/>
      <x:c r="C24" s="14">
        <x:f>IF($B24="","",MAX(0,INT((($B24-$B$5)*1440)+0.000001)))</x:f>
      </x:c>
      <x:c r="D24" s="14">
        <x:f>IF($B24="","",MAX(0,$C24-$B$6))</x:f>
      </x:c>
      <x:c r="E24" s="15">
        <x:f>IF($B24="","",$D24/60)</x:f>
      </x:c>
      <x:c r="F24" s="16" t="inlineStr">
        <x:is>
          <x:t xml:space="preserve"/>
        </x:is>
      </x:c>
    </x:row>
    <x:row r="25" ht="18" customHeight="1">
      <x:c r="A25" s="12" t="n">
        <x:v>14</x:v>
      </x:c>
      <x:c r="B25" s="13" t="n"/>
      <x:c r="C25" s="14">
        <x:f>IF($B25="","",MAX(0,INT((($B25-$B$5)*1440)+0.000001)))</x:f>
      </x:c>
      <x:c r="D25" s="14">
        <x:f>IF($B25="","",MAX(0,$C25-$B$6))</x:f>
      </x:c>
      <x:c r="E25" s="15">
        <x:f>IF($B25="","",$D25/60)</x:f>
      </x:c>
      <x:c r="F25" s="16" t="inlineStr">
        <x:is>
          <x:t xml:space="preserve"/>
        </x:is>
      </x:c>
    </x:row>
    <x:row r="26" ht="18" customHeight="1">
      <x:c r="A26" s="12" t="n">
        <x:v>15</x:v>
      </x:c>
      <x:c r="B26" s="13" t="n"/>
      <x:c r="C26" s="14">
        <x:f>IF($B26="","",MAX(0,INT((($B26-$B$5)*1440)+0.000001)))</x:f>
      </x:c>
      <x:c r="D26" s="14">
        <x:f>IF($B26="","",MAX(0,$C26-$B$6))</x:f>
      </x:c>
      <x:c r="E26" s="15">
        <x:f>IF($B26="","",$D26/60)</x:f>
      </x:c>
      <x:c r="F26" s="16" t="inlineStr">
        <x:is>
          <x:t xml:space="preserve"/>
        </x:is>
      </x:c>
    </x:row>
    <x:row r="27" ht="18" customHeight="1">
      <x:c r="A27" s="12" t="n">
        <x:v>16</x:v>
      </x:c>
      <x:c r="B27" s="13" t="n"/>
      <x:c r="C27" s="14">
        <x:f>IF($B27="","",MAX(0,INT((($B27-$B$5)*1440)+0.000001)))</x:f>
      </x:c>
      <x:c r="D27" s="14">
        <x:f>IF($B27="","",MAX(0,$C27-$B$6))</x:f>
      </x:c>
      <x:c r="E27" s="15">
        <x:f>IF($B27="","",$D27/60)</x:f>
      </x:c>
      <x:c r="F27" s="16" t="inlineStr">
        <x:is>
          <x:t xml:space="preserve"/>
        </x:is>
      </x:c>
    </x:row>
    <x:row r="28" ht="18" customHeight="1">
      <x:c r="A28" s="12" t="n">
        <x:v>17</x:v>
      </x:c>
      <x:c r="B28" s="13" t="n"/>
      <x:c r="C28" s="14">
        <x:f>IF($B28="","",MAX(0,INT((($B28-$B$5)*1440)+0.000001)))</x:f>
      </x:c>
      <x:c r="D28" s="14">
        <x:f>IF($B28="","",MAX(0,$C28-$B$6))</x:f>
      </x:c>
      <x:c r="E28" s="15">
        <x:f>IF($B28="","",$D28/60)</x:f>
      </x:c>
      <x:c r="F28" s="16" t="inlineStr">
        <x:is>
          <x:t xml:space="preserve"/>
        </x:is>
      </x:c>
    </x:row>
    <x:row r="29" ht="18" customHeight="1">
      <x:c r="A29" s="12" t="n">
        <x:v>18</x:v>
      </x:c>
      <x:c r="B29" s="13" t="n"/>
      <x:c r="C29" s="14">
        <x:f>IF($B29="","",MAX(0,INT((($B29-$B$5)*1440)+0.000001)))</x:f>
      </x:c>
      <x:c r="D29" s="14">
        <x:f>IF($B29="","",MAX(0,$C29-$B$6))</x:f>
      </x:c>
      <x:c r="E29" s="15">
        <x:f>IF($B29="","",$D29/60)</x:f>
      </x:c>
      <x:c r="F29" s="16" t="inlineStr">
        <x:is>
          <x:t xml:space="preserve"/>
        </x:is>
      </x:c>
    </x:row>
    <x:row r="30" ht="18" customHeight="1">
      <x:c r="A30" s="12" t="n">
        <x:v>19</x:v>
      </x:c>
      <x:c r="B30" s="13" t="n"/>
      <x:c r="C30" s="14">
        <x:f>IF($B30="","",MAX(0,INT((($B30-$B$5)*1440)+0.000001)))</x:f>
      </x:c>
      <x:c r="D30" s="14">
        <x:f>IF($B30="","",MAX(0,$C30-$B$6))</x:f>
      </x:c>
      <x:c r="E30" s="15">
        <x:f>IF($B30="","",$D30/60)</x:f>
      </x:c>
      <x:c r="F30" s="16" t="inlineStr">
        <x:is>
          <x:t xml:space="preserve"/>
        </x:is>
      </x:c>
    </x:row>
    <x:row r="31" ht="18" customHeight="1">
      <x:c r="A31" s="12" t="n">
        <x:v>20</x:v>
      </x:c>
      <x:c r="B31" s="13" t="n"/>
      <x:c r="C31" s="14">
        <x:f>IF($B31="","",MAX(0,INT((($B31-$B$5)*1440)+0.000001)))</x:f>
      </x:c>
      <x:c r="D31" s="14">
        <x:f>IF($B31="","",MAX(0,$C31-$B$6))</x:f>
      </x:c>
      <x:c r="E31" s="15">
        <x:f>IF($B31="","",$D31/60)</x:f>
      </x:c>
      <x:c r="F31" s="16" t="inlineStr">
        <x:is>
          <x:t xml:space="preserve"/>
        </x:is>
      </x:c>
    </x:row>
    <x:row r="32" ht="18" customHeight="1">
      <x:c r="A32" s="12" t="n">
        <x:v>21</x:v>
      </x:c>
      <x:c r="B32" s="13" t="n"/>
      <x:c r="C32" s="14">
        <x:f>IF($B32="","",MAX(0,INT((($B32-$B$5)*1440)+0.000001)))</x:f>
      </x:c>
      <x:c r="D32" s="14">
        <x:f>IF($B32="","",MAX(0,$C32-$B$6))</x:f>
      </x:c>
      <x:c r="E32" s="15">
        <x:f>IF($B32="","",$D32/60)</x:f>
      </x:c>
      <x:c r="F32" s="16" t="inlineStr">
        <x:is>
          <x:t xml:space="preserve"/>
        </x:is>
      </x:c>
    </x:row>
    <x:row r="33" ht="18" customHeight="1">
      <x:c r="A33" s="12" t="n">
        <x:v>22</x:v>
      </x:c>
      <x:c r="B33" s="13" t="n"/>
      <x:c r="C33" s="14">
        <x:f>IF($B33="","",MAX(0,INT((($B33-$B$5)*1440)+0.000001)))</x:f>
      </x:c>
      <x:c r="D33" s="14">
        <x:f>IF($B33="","",MAX(0,$C33-$B$6))</x:f>
      </x:c>
      <x:c r="E33" s="15">
        <x:f>IF($B33="","",$D33/60)</x:f>
      </x:c>
      <x:c r="F33" s="16" t="inlineStr">
        <x:is>
          <x:t xml:space="preserve"/>
        </x:is>
      </x:c>
    </x:row>
    <x:row r="34" ht="18" customHeight="1">
      <x:c r="A34" s="12" t="n">
        <x:v>23</x:v>
      </x:c>
      <x:c r="B34" s="13" t="n"/>
      <x:c r="C34" s="14">
        <x:f>IF($B34="","",MAX(0,INT((($B34-$B$5)*1440)+0.000001)))</x:f>
      </x:c>
      <x:c r="D34" s="14">
        <x:f>IF($B34="","",MAX(0,$C34-$B$6))</x:f>
      </x:c>
      <x:c r="E34" s="15">
        <x:f>IF($B34="","",$D34/60)</x:f>
      </x:c>
      <x:c r="F34" s="16" t="inlineStr">
        <x:is>
          <x:t xml:space="preserve"/>
        </x:is>
      </x:c>
    </x:row>
    <x:row r="35" ht="18" customHeight="1">
      <x:c r="A35" s="12" t="n">
        <x:v>24</x:v>
      </x:c>
      <x:c r="B35" s="13" t="n"/>
      <x:c r="C35" s="14">
        <x:f>IF($B35="","",MAX(0,INT((($B35-$B$5)*1440)+0.000001)))</x:f>
      </x:c>
      <x:c r="D35" s="14">
        <x:f>IF($B35="","",MAX(0,$C35-$B$6))</x:f>
      </x:c>
      <x:c r="E35" s="15">
        <x:f>IF($B35="","",$D35/60)</x:f>
      </x:c>
      <x:c r="F35" s="16" t="inlineStr">
        <x:is>
          <x:t xml:space="preserve"/>
        </x:is>
      </x:c>
    </x:row>
    <x:row r="36" ht="18" customHeight="1">
      <x:c r="A36" s="12" t="n">
        <x:v>25</x:v>
      </x:c>
      <x:c r="B36" s="13" t="n"/>
      <x:c r="C36" s="14">
        <x:f>IF($B36="","",MAX(0,INT((($B36-$B$5)*1440)+0.000001)))</x:f>
      </x:c>
      <x:c r="D36" s="14">
        <x:f>IF($B36="","",MAX(0,$C36-$B$6))</x:f>
      </x:c>
      <x:c r="E36" s="15">
        <x:f>IF($B36="","",$D36/60)</x:f>
      </x:c>
      <x:c r="F36" s="16" t="inlineStr">
        <x:is>
          <x:t xml:space="preserve"/>
        </x:is>
      </x:c>
    </x:row>
    <x:row r="37" ht="18" customHeight="1">
      <x:c r="A37" s="12" t="n">
        <x:v>26</x:v>
      </x:c>
      <x:c r="B37" s="13" t="n"/>
      <x:c r="C37" s="14">
        <x:f>IF($B37="","",MAX(0,INT((($B37-$B$5)*1440)+0.000001)))</x:f>
      </x:c>
      <x:c r="D37" s="14">
        <x:f>IF($B37="","",MAX(0,$C37-$B$6))</x:f>
      </x:c>
      <x:c r="E37" s="15">
        <x:f>IF($B37="","",$D37/60)</x:f>
      </x:c>
      <x:c r="F37" s="16" t="inlineStr">
        <x:is>
          <x:t xml:space="preserve"/>
        </x:is>
      </x:c>
    </x:row>
    <x:row r="38" ht="18" customHeight="1">
      <x:c r="A38" s="12" t="n">
        <x:v>27</x:v>
      </x:c>
      <x:c r="B38" s="13" t="n"/>
      <x:c r="C38" s="14">
        <x:f>IF($B38="","",MAX(0,INT((($B38-$B$5)*1440)+0.000001)))</x:f>
      </x:c>
      <x:c r="D38" s="14">
        <x:f>IF($B38="","",MAX(0,$C38-$B$6))</x:f>
      </x:c>
      <x:c r="E38" s="15">
        <x:f>IF($B38="","",$D38/60)</x:f>
      </x:c>
      <x:c r="F38" s="16" t="inlineStr">
        <x:is>
          <x:t xml:space="preserve"/>
        </x:is>
      </x:c>
    </x:row>
    <x:row r="39" ht="18" customHeight="1">
      <x:c r="A39" s="12" t="n">
        <x:v>28</x:v>
      </x:c>
      <x:c r="B39" s="13" t="n"/>
      <x:c r="C39" s="14">
        <x:f>IF($B39="","",MAX(0,INT((($B39-$B$5)*1440)+0.000001)))</x:f>
      </x:c>
      <x:c r="D39" s="14">
        <x:f>IF($B39="","",MAX(0,$C39-$B$6))</x:f>
      </x:c>
      <x:c r="E39" s="15">
        <x:f>IF($B39="","",$D39/60)</x:f>
      </x:c>
      <x:c r="F39" s="16" t="inlineStr">
        <x:is>
          <x:t xml:space="preserve"/>
        </x:is>
      </x:c>
    </x:row>
    <x:row r="40" ht="18" customHeight="1">
      <x:c r="A40" s="12" t="n">
        <x:v>29</x:v>
      </x:c>
      <x:c r="B40" s="13" t="n"/>
      <x:c r="C40" s="14">
        <x:f>IF($B40="","",MAX(0,INT((($B40-$B$5)*1440)+0.000001)))</x:f>
      </x:c>
      <x:c r="D40" s="14">
        <x:f>IF($B40="","",MAX(0,$C40-$B$6))</x:f>
      </x:c>
      <x:c r="E40" s="15">
        <x:f>IF($B40="","",$D40/60)</x:f>
      </x:c>
      <x:c r="F40" s="16" t="inlineStr">
        <x:is>
          <x:t xml:space="preserve"/>
        </x:is>
      </x:c>
    </x:row>
    <x:row r="41" ht="18" customHeight="1">
      <x:c r="A41" s="12" t="n">
        <x:v>30</x:v>
      </x:c>
      <x:c r="B41" s="13" t="n"/>
      <x:c r="C41" s="14">
        <x:f>IF($B41="","",MAX(0,INT((($B41-$B$5)*1440)+0.000001)))</x:f>
      </x:c>
      <x:c r="D41" s="14">
        <x:f>IF($B41="","",MAX(0,$C41-$B$6))</x:f>
      </x:c>
      <x:c r="E41" s="15">
        <x:f>IF($B41="","",$D41/60)</x:f>
      </x:c>
      <x:c r="F41" s="16" t="inlineStr">
        <x:is>
          <x:t xml:space="preserve"/>
        </x:is>
      </x:c>
    </x:row>
    <x:row r="42" ht="18" customHeight="1">
      <x:c r="A42" s="12" t="n">
        <x:v>31</x:v>
      </x:c>
      <x:c r="B42" s="13" t="n"/>
      <x:c r="C42" s="14">
        <x:f>IF($B42="","",MAX(0,INT((($B42-$B$5)*1440)+0.000001)))</x:f>
      </x:c>
      <x:c r="D42" s="14">
        <x:f>IF($B42="","",MAX(0,$C42-$B$6))</x:f>
      </x:c>
      <x:c r="E42" s="15">
        <x:f>IF($B42="","",$D42/60)</x:f>
      </x:c>
      <x:c r="F42" s="16" t="inlineStr">
        <x:is>
          <x:t xml:space="preserve"/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customWidth="1"/>
    <x:col min="2" max="2" width="16" customWidth="1"/>
    <x:col min="3" max="3" width="14" customWidth="1"/>
    <x:col min="4" max="4" width="18" customWidth="1"/>
    <x:col min="5" max="5" width="16" customWidth="1"/>
    <x:col min="6" max="6" width="22" customWidth="1"/>
  </x:cols>
  <x:sheetData>
    <x:row r="1" ht="26" customHeight="1">
      <x:c r="A1" s="1" t="inlineStr">
        <x:is>
          <x:t xml:space="preserve">9月｜全勤獎金按實際上班時數比例計算</x:t>
        </x:is>
      </x:c>
    </x:row>
    <x:row r="2" ht="34" customHeight="1">
      <x:c r="A2" s="2" t="inlineStr">
        <x:is>
          <x:t xml:space="preserve">說明：打卡時間輸入在「上班打卡」欄。遲到先以(打卡-基準)算分鐘；前「免計分鐘」不扣，從第31分鐘起才開始計入。</x:t>
        </x:is>
      </x:c>
    </x:row>
    <x:row r="3">
      <x:c r="A3" s="3" t="inlineStr">
        <x:is>
          <x:t xml:space="preserve">全勤獎金(元)</x:t>
        </x:is>
      </x:c>
      <x:c r="B3" s="4" t="n">
        <x:v>1000</x:v>
      </x:c>
      <x:c r="D3" s="3" t="inlineStr">
        <x:is>
          <x:t xml:space="preserve">本月全勤扣除(元)</x:t>
        </x:is>
      </x:c>
      <x:c r="E3" s="5">
        <x:f>ROUND($B$3-$B$10,2)</x:f>
        <x:v>0</x:v>
      </x:c>
    </x:row>
    <x:row r="4">
      <x:c r="A4" s="3" t="inlineStr">
        <x:is>
          <x:t xml:space="preserve">應上班時數(小時)</x:t>
        </x:is>
      </x:c>
      <x:c r="B4" s="6" t="n">
        <x:v>184</x:v>
      </x:c>
    </x:row>
    <x:row r="5">
      <x:c r="A5" s="3" t="inlineStr">
        <x:is>
          <x:t xml:space="preserve">上班時間(基準)</x:t>
        </x:is>
      </x:c>
      <x:c r="B5" s="7" t="n">
        <x:v>0.3541666666666667</x:v>
      </x:c>
    </x:row>
    <x:row r="6">
      <x:c r="A6" s="3" t="inlineStr">
        <x:is>
          <x:t xml:space="preserve">遲到免計(分鐘)</x:t>
        </x:is>
      </x:c>
      <x:c r="B6" s="8" t="n">
        <x:v>30</x:v>
      </x:c>
    </x:row>
    <x:row r="7">
      <x:c r="A7" s="3" t="inlineStr">
        <x:is>
          <x:t xml:space="preserve">合計有效遲到(分鐘)</x:t>
        </x:is>
      </x:c>
      <x:c r="B7" s="9">
        <x:f>SUM($D$12:$D$42)</x:f>
        <x:v>0</x:v>
      </x:c>
    </x:row>
    <x:row r="8">
      <x:c r="A8" s="3" t="inlineStr">
        <x:is>
          <x:t xml:space="preserve">合計有效遲到(小時)</x:t>
        </x:is>
      </x:c>
      <x:c r="B8" s="10">
        <x:f>$B$7/60</x:f>
        <x:v>0</x:v>
      </x:c>
    </x:row>
    <x:row r="9">
      <x:c r="A9" s="3" t="inlineStr">
        <x:is>
          <x:t xml:space="preserve">實際上班時數(小時)</x:t>
        </x:is>
      </x:c>
      <x:c r="B9" s="10">
        <x:f>MAX(0,$B$4-$B$8)</x:f>
        <x:v>184</x:v>
      </x:c>
    </x:row>
    <x:row r="10">
      <x:c r="A10" s="3" t="inlineStr">
        <x:is>
          <x:t xml:space="preserve">本月全勤實領(元)</x:t>
        </x:is>
      </x:c>
      <x:c r="B10" s="5">
        <x:f>ROUND($B$3*($B$9/$B$4),2)</x:f>
        <x:v>1000</x:v>
      </x:c>
    </x:row>
    <x:row r="11" ht="20" customHeight="1">
      <x:c r="A11" s="11" t="inlineStr">
        <x:is>
          <x:t xml:space="preserve">日</x:t>
        </x:is>
      </x:c>
      <x:c r="B11" s="11" t="inlineStr">
        <x:is>
          <x:t xml:space="preserve">上班打卡</x:t>
        </x:is>
      </x:c>
      <x:c r="C11" s="11" t="inlineStr">
        <x:is>
          <x:t xml:space="preserve">原始遲到(分)</x:t>
        </x:is>
      </x:c>
      <x:c r="D11" s="11" t="inlineStr">
        <x:is>
          <x:t xml:space="preserve">計入遲到(分)</x:t>
        </x:is>
      </x:c>
      <x:c r="E11" s="11" t="inlineStr">
        <x:is>
          <x:t xml:space="preserve">計入遲到(時)</x:t>
        </x:is>
      </x:c>
      <x:c r="F11" s="11" t="inlineStr">
        <x:is>
          <x:t xml:space="preserve">備註</x:t>
        </x:is>
      </x:c>
    </x:row>
    <x:row r="12" ht="18" customHeight="1">
      <x:c r="A12" s="12" t="n">
        <x:v>1</x:v>
      </x:c>
      <x:c r="B12" s="13" t="n"/>
      <x:c r="C12" s="14">
        <x:f>IF($B12="","",MAX(0,INT((($B12-$B$5)*1440)+0.000001)))</x:f>
      </x:c>
      <x:c r="D12" s="14">
        <x:f>IF($B12="","",MAX(0,$C12-$B$6))</x:f>
      </x:c>
      <x:c r="E12" s="15">
        <x:f>IF($B12="","",$D12/60)</x:f>
      </x:c>
      <x:c r="F12" s="16" t="inlineStr">
        <x:is>
          <x:t xml:space="preserve"/>
        </x:is>
      </x:c>
    </x:row>
    <x:row r="13" ht="18" customHeight="1">
      <x:c r="A13" s="12" t="n">
        <x:v>2</x:v>
      </x:c>
      <x:c r="B13" s="13" t="n"/>
      <x:c r="C13" s="14">
        <x:f>IF($B13="","",MAX(0,INT((($B13-$B$5)*1440)+0.000001)))</x:f>
      </x:c>
      <x:c r="D13" s="14">
        <x:f>IF($B13="","",MAX(0,$C13-$B$6))</x:f>
      </x:c>
      <x:c r="E13" s="15">
        <x:f>IF($B13="","",$D13/60)</x:f>
      </x:c>
      <x:c r="F13" s="16" t="inlineStr">
        <x:is>
          <x:t xml:space="preserve"/>
        </x:is>
      </x:c>
    </x:row>
    <x:row r="14" ht="18" customHeight="1">
      <x:c r="A14" s="12" t="n">
        <x:v>3</x:v>
      </x:c>
      <x:c r="B14" s="13" t="n"/>
      <x:c r="C14" s="14">
        <x:f>IF($B14="","",MAX(0,INT((($B14-$B$5)*1440)+0.000001)))</x:f>
      </x:c>
      <x:c r="D14" s="14">
        <x:f>IF($B14="","",MAX(0,$C14-$B$6))</x:f>
      </x:c>
      <x:c r="E14" s="15">
        <x:f>IF($B14="","",$D14/60)</x:f>
      </x:c>
      <x:c r="F14" s="16" t="inlineStr">
        <x:is>
          <x:t xml:space="preserve"/>
        </x:is>
      </x:c>
    </x:row>
    <x:row r="15" ht="18" customHeight="1">
      <x:c r="A15" s="12" t="n">
        <x:v>4</x:v>
      </x:c>
      <x:c r="B15" s="13" t="n"/>
      <x:c r="C15" s="14">
        <x:f>IF($B15="","",MAX(0,INT((($B15-$B$5)*1440)+0.000001)))</x:f>
      </x:c>
      <x:c r="D15" s="14">
        <x:f>IF($B15="","",MAX(0,$C15-$B$6))</x:f>
      </x:c>
      <x:c r="E15" s="15">
        <x:f>IF($B15="","",$D15/60)</x:f>
      </x:c>
      <x:c r="F15" s="16" t="inlineStr">
        <x:is>
          <x:t xml:space="preserve"/>
        </x:is>
      </x:c>
    </x:row>
    <x:row r="16" ht="18" customHeight="1">
      <x:c r="A16" s="12" t="n">
        <x:v>5</x:v>
      </x:c>
      <x:c r="B16" s="13" t="n"/>
      <x:c r="C16" s="14">
        <x:f>IF($B16="","",MAX(0,INT((($B16-$B$5)*1440)+0.000001)))</x:f>
      </x:c>
      <x:c r="D16" s="14">
        <x:f>IF($B16="","",MAX(0,$C16-$B$6))</x:f>
      </x:c>
      <x:c r="E16" s="15">
        <x:f>IF($B16="","",$D16/60)</x:f>
      </x:c>
      <x:c r="F16" s="16" t="inlineStr">
        <x:is>
          <x:t xml:space="preserve"/>
        </x:is>
      </x:c>
    </x:row>
    <x:row r="17" ht="18" customHeight="1">
      <x:c r="A17" s="12" t="n">
        <x:v>6</x:v>
      </x:c>
      <x:c r="B17" s="13" t="n"/>
      <x:c r="C17" s="14">
        <x:f>IF($B17="","",MAX(0,INT((($B17-$B$5)*1440)+0.000001)))</x:f>
      </x:c>
      <x:c r="D17" s="14">
        <x:f>IF($B17="","",MAX(0,$C17-$B$6))</x:f>
      </x:c>
      <x:c r="E17" s="15">
        <x:f>IF($B17="","",$D17/60)</x:f>
      </x:c>
      <x:c r="F17" s="16" t="inlineStr">
        <x:is>
          <x:t xml:space="preserve"/>
        </x:is>
      </x:c>
    </x:row>
    <x:row r="18" ht="18" customHeight="1">
      <x:c r="A18" s="12" t="n">
        <x:v>7</x:v>
      </x:c>
      <x:c r="B18" s="13" t="n"/>
      <x:c r="C18" s="14">
        <x:f>IF($B18="","",MAX(0,INT((($B18-$B$5)*1440)+0.000001)))</x:f>
      </x:c>
      <x:c r="D18" s="14">
        <x:f>IF($B18="","",MAX(0,$C18-$B$6))</x:f>
      </x:c>
      <x:c r="E18" s="15">
        <x:f>IF($B18="","",$D18/60)</x:f>
      </x:c>
      <x:c r="F18" s="16" t="inlineStr">
        <x:is>
          <x:t xml:space="preserve"/>
        </x:is>
      </x:c>
    </x:row>
    <x:row r="19" ht="18" customHeight="1">
      <x:c r="A19" s="12" t="n">
        <x:v>8</x:v>
      </x:c>
      <x:c r="B19" s="13" t="n"/>
      <x:c r="C19" s="14">
        <x:f>IF($B19="","",MAX(0,INT((($B19-$B$5)*1440)+0.000001)))</x:f>
      </x:c>
      <x:c r="D19" s="14">
        <x:f>IF($B19="","",MAX(0,$C19-$B$6))</x:f>
      </x:c>
      <x:c r="E19" s="15">
        <x:f>IF($B19="","",$D19/60)</x:f>
      </x:c>
      <x:c r="F19" s="16" t="inlineStr">
        <x:is>
          <x:t xml:space="preserve"/>
        </x:is>
      </x:c>
    </x:row>
    <x:row r="20" ht="18" customHeight="1">
      <x:c r="A20" s="12" t="n">
        <x:v>9</x:v>
      </x:c>
      <x:c r="B20" s="13" t="n"/>
      <x:c r="C20" s="14">
        <x:f>IF($B20="","",MAX(0,INT((($B20-$B$5)*1440)+0.000001)))</x:f>
      </x:c>
      <x:c r="D20" s="14">
        <x:f>IF($B20="","",MAX(0,$C20-$B$6))</x:f>
      </x:c>
      <x:c r="E20" s="15">
        <x:f>IF($B20="","",$D20/60)</x:f>
      </x:c>
      <x:c r="F20" s="16" t="inlineStr">
        <x:is>
          <x:t xml:space="preserve"/>
        </x:is>
      </x:c>
    </x:row>
    <x:row r="21" ht="18" customHeight="1">
      <x:c r="A21" s="12" t="n">
        <x:v>10</x:v>
      </x:c>
      <x:c r="B21" s="13" t="n"/>
      <x:c r="C21" s="14">
        <x:f>IF($B21="","",MAX(0,INT((($B21-$B$5)*1440)+0.000001)))</x:f>
      </x:c>
      <x:c r="D21" s="14">
        <x:f>IF($B21="","",MAX(0,$C21-$B$6))</x:f>
      </x:c>
      <x:c r="E21" s="15">
        <x:f>IF($B21="","",$D21/60)</x:f>
      </x:c>
      <x:c r="F21" s="16" t="inlineStr">
        <x:is>
          <x:t xml:space="preserve"/>
        </x:is>
      </x:c>
    </x:row>
    <x:row r="22" ht="18" customHeight="1">
      <x:c r="A22" s="12" t="n">
        <x:v>11</x:v>
      </x:c>
      <x:c r="B22" s="13" t="n"/>
      <x:c r="C22" s="14">
        <x:f>IF($B22="","",MAX(0,INT((($B22-$B$5)*1440)+0.000001)))</x:f>
      </x:c>
      <x:c r="D22" s="14">
        <x:f>IF($B22="","",MAX(0,$C22-$B$6))</x:f>
      </x:c>
      <x:c r="E22" s="15">
        <x:f>IF($B22="","",$D22/60)</x:f>
      </x:c>
      <x:c r="F22" s="16" t="inlineStr">
        <x:is>
          <x:t xml:space="preserve"/>
        </x:is>
      </x:c>
    </x:row>
    <x:row r="23" ht="18" customHeight="1">
      <x:c r="A23" s="12" t="n">
        <x:v>12</x:v>
      </x:c>
      <x:c r="B23" s="13" t="n"/>
      <x:c r="C23" s="14">
        <x:f>IF($B23="","",MAX(0,INT((($B23-$B$5)*1440)+0.000001)))</x:f>
      </x:c>
      <x:c r="D23" s="14">
        <x:f>IF($B23="","",MAX(0,$C23-$B$6))</x:f>
      </x:c>
      <x:c r="E23" s="15">
        <x:f>IF($B23="","",$D23/60)</x:f>
      </x:c>
      <x:c r="F23" s="16" t="inlineStr">
        <x:is>
          <x:t xml:space="preserve"/>
        </x:is>
      </x:c>
    </x:row>
    <x:row r="24" ht="18" customHeight="1">
      <x:c r="A24" s="12" t="n">
        <x:v>13</x:v>
      </x:c>
      <x:c r="B24" s="13" t="n"/>
      <x:c r="C24" s="14">
        <x:f>IF($B24="","",MAX(0,INT((($B24-$B$5)*1440)+0.000001)))</x:f>
      </x:c>
      <x:c r="D24" s="14">
        <x:f>IF($B24="","",MAX(0,$C24-$B$6))</x:f>
      </x:c>
      <x:c r="E24" s="15">
        <x:f>IF($B24="","",$D24/60)</x:f>
      </x:c>
      <x:c r="F24" s="16" t="inlineStr">
        <x:is>
          <x:t xml:space="preserve"/>
        </x:is>
      </x:c>
    </x:row>
    <x:row r="25" ht="18" customHeight="1">
      <x:c r="A25" s="12" t="n">
        <x:v>14</x:v>
      </x:c>
      <x:c r="B25" s="13" t="n"/>
      <x:c r="C25" s="14">
        <x:f>IF($B25="","",MAX(0,INT((($B25-$B$5)*1440)+0.000001)))</x:f>
      </x:c>
      <x:c r="D25" s="14">
        <x:f>IF($B25="","",MAX(0,$C25-$B$6))</x:f>
      </x:c>
      <x:c r="E25" s="15">
        <x:f>IF($B25="","",$D25/60)</x:f>
      </x:c>
      <x:c r="F25" s="16" t="inlineStr">
        <x:is>
          <x:t xml:space="preserve"/>
        </x:is>
      </x:c>
    </x:row>
    <x:row r="26" ht="18" customHeight="1">
      <x:c r="A26" s="12" t="n">
        <x:v>15</x:v>
      </x:c>
      <x:c r="B26" s="13" t="n"/>
      <x:c r="C26" s="14">
        <x:f>IF($B26="","",MAX(0,INT((($B26-$B$5)*1440)+0.000001)))</x:f>
      </x:c>
      <x:c r="D26" s="14">
        <x:f>IF($B26="","",MAX(0,$C26-$B$6))</x:f>
      </x:c>
      <x:c r="E26" s="15">
        <x:f>IF($B26="","",$D26/60)</x:f>
      </x:c>
      <x:c r="F26" s="16" t="inlineStr">
        <x:is>
          <x:t xml:space="preserve"/>
        </x:is>
      </x:c>
    </x:row>
    <x:row r="27" ht="18" customHeight="1">
      <x:c r="A27" s="12" t="n">
        <x:v>16</x:v>
      </x:c>
      <x:c r="B27" s="13" t="n"/>
      <x:c r="C27" s="14">
        <x:f>IF($B27="","",MAX(0,INT((($B27-$B$5)*1440)+0.000001)))</x:f>
      </x:c>
      <x:c r="D27" s="14">
        <x:f>IF($B27="","",MAX(0,$C27-$B$6))</x:f>
      </x:c>
      <x:c r="E27" s="15">
        <x:f>IF($B27="","",$D27/60)</x:f>
      </x:c>
      <x:c r="F27" s="16" t="inlineStr">
        <x:is>
          <x:t xml:space="preserve"/>
        </x:is>
      </x:c>
    </x:row>
    <x:row r="28" ht="18" customHeight="1">
      <x:c r="A28" s="12" t="n">
        <x:v>17</x:v>
      </x:c>
      <x:c r="B28" s="13" t="n"/>
      <x:c r="C28" s="14">
        <x:f>IF($B28="","",MAX(0,INT((($B28-$B$5)*1440)+0.000001)))</x:f>
      </x:c>
      <x:c r="D28" s="14">
        <x:f>IF($B28="","",MAX(0,$C28-$B$6))</x:f>
      </x:c>
      <x:c r="E28" s="15">
        <x:f>IF($B28="","",$D28/60)</x:f>
      </x:c>
      <x:c r="F28" s="16" t="inlineStr">
        <x:is>
          <x:t xml:space="preserve"/>
        </x:is>
      </x:c>
    </x:row>
    <x:row r="29" ht="18" customHeight="1">
      <x:c r="A29" s="12" t="n">
        <x:v>18</x:v>
      </x:c>
      <x:c r="B29" s="13" t="n"/>
      <x:c r="C29" s="14">
        <x:f>IF($B29="","",MAX(0,INT((($B29-$B$5)*1440)+0.000001)))</x:f>
      </x:c>
      <x:c r="D29" s="14">
        <x:f>IF($B29="","",MAX(0,$C29-$B$6))</x:f>
      </x:c>
      <x:c r="E29" s="15">
        <x:f>IF($B29="","",$D29/60)</x:f>
      </x:c>
      <x:c r="F29" s="16" t="inlineStr">
        <x:is>
          <x:t xml:space="preserve"/>
        </x:is>
      </x:c>
    </x:row>
    <x:row r="30" ht="18" customHeight="1">
      <x:c r="A30" s="12" t="n">
        <x:v>19</x:v>
      </x:c>
      <x:c r="B30" s="13" t="n"/>
      <x:c r="C30" s="14">
        <x:f>IF($B30="","",MAX(0,INT((($B30-$B$5)*1440)+0.000001)))</x:f>
      </x:c>
      <x:c r="D30" s="14">
        <x:f>IF($B30="","",MAX(0,$C30-$B$6))</x:f>
      </x:c>
      <x:c r="E30" s="15">
        <x:f>IF($B30="","",$D30/60)</x:f>
      </x:c>
      <x:c r="F30" s="16" t="inlineStr">
        <x:is>
          <x:t xml:space="preserve"/>
        </x:is>
      </x:c>
    </x:row>
    <x:row r="31" ht="18" customHeight="1">
      <x:c r="A31" s="12" t="n">
        <x:v>20</x:v>
      </x:c>
      <x:c r="B31" s="13" t="n"/>
      <x:c r="C31" s="14">
        <x:f>IF($B31="","",MAX(0,INT((($B31-$B$5)*1440)+0.000001)))</x:f>
      </x:c>
      <x:c r="D31" s="14">
        <x:f>IF($B31="","",MAX(0,$C31-$B$6))</x:f>
      </x:c>
      <x:c r="E31" s="15">
        <x:f>IF($B31="","",$D31/60)</x:f>
      </x:c>
      <x:c r="F31" s="16" t="inlineStr">
        <x:is>
          <x:t xml:space="preserve"/>
        </x:is>
      </x:c>
    </x:row>
    <x:row r="32" ht="18" customHeight="1">
      <x:c r="A32" s="12" t="n">
        <x:v>21</x:v>
      </x:c>
      <x:c r="B32" s="13" t="n"/>
      <x:c r="C32" s="14">
        <x:f>IF($B32="","",MAX(0,INT((($B32-$B$5)*1440)+0.000001)))</x:f>
      </x:c>
      <x:c r="D32" s="14">
        <x:f>IF($B32="","",MAX(0,$C32-$B$6))</x:f>
      </x:c>
      <x:c r="E32" s="15">
        <x:f>IF($B32="","",$D32/60)</x:f>
      </x:c>
      <x:c r="F32" s="16" t="inlineStr">
        <x:is>
          <x:t xml:space="preserve"/>
        </x:is>
      </x:c>
    </x:row>
    <x:row r="33" ht="18" customHeight="1">
      <x:c r="A33" s="12" t="n">
        <x:v>22</x:v>
      </x:c>
      <x:c r="B33" s="13" t="n"/>
      <x:c r="C33" s="14">
        <x:f>IF($B33="","",MAX(0,INT((($B33-$B$5)*1440)+0.000001)))</x:f>
      </x:c>
      <x:c r="D33" s="14">
        <x:f>IF($B33="","",MAX(0,$C33-$B$6))</x:f>
      </x:c>
      <x:c r="E33" s="15">
        <x:f>IF($B33="","",$D33/60)</x:f>
      </x:c>
      <x:c r="F33" s="16" t="inlineStr">
        <x:is>
          <x:t xml:space="preserve"/>
        </x:is>
      </x:c>
    </x:row>
    <x:row r="34" ht="18" customHeight="1">
      <x:c r="A34" s="12" t="n">
        <x:v>23</x:v>
      </x:c>
      <x:c r="B34" s="13" t="n"/>
      <x:c r="C34" s="14">
        <x:f>IF($B34="","",MAX(0,INT((($B34-$B$5)*1440)+0.000001)))</x:f>
      </x:c>
      <x:c r="D34" s="14">
        <x:f>IF($B34="","",MAX(0,$C34-$B$6))</x:f>
      </x:c>
      <x:c r="E34" s="15">
        <x:f>IF($B34="","",$D34/60)</x:f>
      </x:c>
      <x:c r="F34" s="16" t="inlineStr">
        <x:is>
          <x:t xml:space="preserve"/>
        </x:is>
      </x:c>
    </x:row>
    <x:row r="35" ht="18" customHeight="1">
      <x:c r="A35" s="12" t="n">
        <x:v>24</x:v>
      </x:c>
      <x:c r="B35" s="13" t="n"/>
      <x:c r="C35" s="14">
        <x:f>IF($B35="","",MAX(0,INT((($B35-$B$5)*1440)+0.000001)))</x:f>
      </x:c>
      <x:c r="D35" s="14">
        <x:f>IF($B35="","",MAX(0,$C35-$B$6))</x:f>
      </x:c>
      <x:c r="E35" s="15">
        <x:f>IF($B35="","",$D35/60)</x:f>
      </x:c>
      <x:c r="F35" s="16" t="inlineStr">
        <x:is>
          <x:t xml:space="preserve"/>
        </x:is>
      </x:c>
    </x:row>
    <x:row r="36" ht="18" customHeight="1">
      <x:c r="A36" s="12" t="n">
        <x:v>25</x:v>
      </x:c>
      <x:c r="B36" s="13" t="n"/>
      <x:c r="C36" s="14">
        <x:f>IF($B36="","",MAX(0,INT((($B36-$B$5)*1440)+0.000001)))</x:f>
      </x:c>
      <x:c r="D36" s="14">
        <x:f>IF($B36="","",MAX(0,$C36-$B$6))</x:f>
      </x:c>
      <x:c r="E36" s="15">
        <x:f>IF($B36="","",$D36/60)</x:f>
      </x:c>
      <x:c r="F36" s="16" t="inlineStr">
        <x:is>
          <x:t xml:space="preserve"/>
        </x:is>
      </x:c>
    </x:row>
    <x:row r="37" ht="18" customHeight="1">
      <x:c r="A37" s="12" t="n">
        <x:v>26</x:v>
      </x:c>
      <x:c r="B37" s="13" t="n"/>
      <x:c r="C37" s="14">
        <x:f>IF($B37="","",MAX(0,INT((($B37-$B$5)*1440)+0.000001)))</x:f>
      </x:c>
      <x:c r="D37" s="14">
        <x:f>IF($B37="","",MAX(0,$C37-$B$6))</x:f>
      </x:c>
      <x:c r="E37" s="15">
        <x:f>IF($B37="","",$D37/60)</x:f>
      </x:c>
      <x:c r="F37" s="16" t="inlineStr">
        <x:is>
          <x:t xml:space="preserve"/>
        </x:is>
      </x:c>
    </x:row>
    <x:row r="38" ht="18" customHeight="1">
      <x:c r="A38" s="12" t="n">
        <x:v>27</x:v>
      </x:c>
      <x:c r="B38" s="13" t="n"/>
      <x:c r="C38" s="14">
        <x:f>IF($B38="","",MAX(0,INT((($B38-$B$5)*1440)+0.000001)))</x:f>
      </x:c>
      <x:c r="D38" s="14">
        <x:f>IF($B38="","",MAX(0,$C38-$B$6))</x:f>
      </x:c>
      <x:c r="E38" s="15">
        <x:f>IF($B38="","",$D38/60)</x:f>
      </x:c>
      <x:c r="F38" s="16" t="inlineStr">
        <x:is>
          <x:t xml:space="preserve"/>
        </x:is>
      </x:c>
    </x:row>
    <x:row r="39" ht="18" customHeight="1">
      <x:c r="A39" s="12" t="n">
        <x:v>28</x:v>
      </x:c>
      <x:c r="B39" s="13" t="n"/>
      <x:c r="C39" s="14">
        <x:f>IF($B39="","",MAX(0,INT((($B39-$B$5)*1440)+0.000001)))</x:f>
      </x:c>
      <x:c r="D39" s="14">
        <x:f>IF($B39="","",MAX(0,$C39-$B$6))</x:f>
      </x:c>
      <x:c r="E39" s="15">
        <x:f>IF($B39="","",$D39/60)</x:f>
      </x:c>
      <x:c r="F39" s="16" t="inlineStr">
        <x:is>
          <x:t xml:space="preserve"/>
        </x:is>
      </x:c>
    </x:row>
    <x:row r="40" ht="18" customHeight="1">
      <x:c r="A40" s="12" t="n">
        <x:v>29</x:v>
      </x:c>
      <x:c r="B40" s="13" t="n"/>
      <x:c r="C40" s="14">
        <x:f>IF($B40="","",MAX(0,INT((($B40-$B$5)*1440)+0.000001)))</x:f>
      </x:c>
      <x:c r="D40" s="14">
        <x:f>IF($B40="","",MAX(0,$C40-$B$6))</x:f>
      </x:c>
      <x:c r="E40" s="15">
        <x:f>IF($B40="","",$D40/60)</x:f>
      </x:c>
      <x:c r="F40" s="16" t="inlineStr">
        <x:is>
          <x:t xml:space="preserve"/>
        </x:is>
      </x:c>
    </x:row>
    <x:row r="41" ht="18" customHeight="1">
      <x:c r="A41" s="12" t="n">
        <x:v>30</x:v>
      </x:c>
      <x:c r="B41" s="13" t="n"/>
      <x:c r="C41" s="14">
        <x:f>IF($B41="","",MAX(0,INT((($B41-$B$5)*1440)+0.000001)))</x:f>
      </x:c>
      <x:c r="D41" s="14">
        <x:f>IF($B41="","",MAX(0,$C41-$B$6))</x:f>
      </x:c>
      <x:c r="E41" s="15">
        <x:f>IF($B41="","",$D41/60)</x:f>
      </x:c>
      <x:c r="F41" s="16" t="inlineStr">
        <x:is>
          <x:t xml:space="preserve"/>
        </x:is>
      </x:c>
    </x:row>
    <x:row r="42" ht="18" customHeight="1">
      <x:c r="A42" s="12" t="n">
        <x:v>31</x:v>
      </x:c>
      <x:c r="B42" s="13" t="n"/>
      <x:c r="C42" s="14">
        <x:f>IF($B42="","",MAX(0,INT((($B42-$B$5)*1440)+0.000001)))</x:f>
      </x:c>
      <x:c r="D42" s="14">
        <x:f>IF($B42="","",MAX(0,$C42-$B$6))</x:f>
      </x:c>
      <x:c r="E42" s="15">
        <x:f>IF($B42="","",$D42/60)</x:f>
      </x:c>
      <x:c r="F42" s="16" t="inlineStr">
        <x:is>
          <x:t xml:space="preserve"/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customWidth="1"/>
    <x:col min="2" max="2" width="16" customWidth="1"/>
    <x:col min="3" max="3" width="14" customWidth="1"/>
    <x:col min="4" max="4" width="18" customWidth="1"/>
    <x:col min="5" max="5" width="16" customWidth="1"/>
    <x:col min="6" max="6" width="22" customWidth="1"/>
  </x:cols>
  <x:sheetData>
    <x:row r="1" ht="26" customHeight="1">
      <x:c r="A1" s="1" t="inlineStr">
        <x:is>
          <x:t xml:space="preserve">10月｜全勤獎金按實際上班時數比例計算</x:t>
        </x:is>
      </x:c>
    </x:row>
    <x:row r="2" ht="34" customHeight="1">
      <x:c r="A2" s="2" t="inlineStr">
        <x:is>
          <x:t xml:space="preserve">說明：打卡時間輸入在「上班打卡」欄。遲到先以(打卡-基準)算分鐘；前「免計分鐘」不扣，從第31分鐘起才開始計入。</x:t>
        </x:is>
      </x:c>
    </x:row>
    <x:row r="3">
      <x:c r="A3" s="3" t="inlineStr">
        <x:is>
          <x:t xml:space="preserve">全勤獎金(元)</x:t>
        </x:is>
      </x:c>
      <x:c r="B3" s="4" t="n">
        <x:v>1000</x:v>
      </x:c>
      <x:c r="D3" s="3" t="inlineStr">
        <x:is>
          <x:t xml:space="preserve">本月全勤扣除(元)</x:t>
        </x:is>
      </x:c>
      <x:c r="E3" s="5">
        <x:f>ROUND($B$3-$B$10,2)</x:f>
        <x:v>0</x:v>
      </x:c>
    </x:row>
    <x:row r="4">
      <x:c r="A4" s="3" t="inlineStr">
        <x:is>
          <x:t xml:space="preserve">應上班時數(小時)</x:t>
        </x:is>
      </x:c>
      <x:c r="B4" s="6" t="n">
        <x:v>184</x:v>
      </x:c>
    </x:row>
    <x:row r="5">
      <x:c r="A5" s="3" t="inlineStr">
        <x:is>
          <x:t xml:space="preserve">上班時間(基準)</x:t>
        </x:is>
      </x:c>
      <x:c r="B5" s="7" t="n">
        <x:v>0.3541666666666667</x:v>
      </x:c>
    </x:row>
    <x:row r="6">
      <x:c r="A6" s="3" t="inlineStr">
        <x:is>
          <x:t xml:space="preserve">遲到免計(分鐘)</x:t>
        </x:is>
      </x:c>
      <x:c r="B6" s="8" t="n">
        <x:v>30</x:v>
      </x:c>
    </x:row>
    <x:row r="7">
      <x:c r="A7" s="3" t="inlineStr">
        <x:is>
          <x:t xml:space="preserve">合計有效遲到(分鐘)</x:t>
        </x:is>
      </x:c>
      <x:c r="B7" s="9">
        <x:f>SUM($D$12:$D$42)</x:f>
        <x:v>0</x:v>
      </x:c>
    </x:row>
    <x:row r="8">
      <x:c r="A8" s="3" t="inlineStr">
        <x:is>
          <x:t xml:space="preserve">合計有效遲到(小時)</x:t>
        </x:is>
      </x:c>
      <x:c r="B8" s="10">
        <x:f>$B$7/60</x:f>
        <x:v>0</x:v>
      </x:c>
    </x:row>
    <x:row r="9">
      <x:c r="A9" s="3" t="inlineStr">
        <x:is>
          <x:t xml:space="preserve">實際上班時數(小時)</x:t>
        </x:is>
      </x:c>
      <x:c r="B9" s="10">
        <x:f>MAX(0,$B$4-$B$8)</x:f>
        <x:v>184</x:v>
      </x:c>
    </x:row>
    <x:row r="10">
      <x:c r="A10" s="3" t="inlineStr">
        <x:is>
          <x:t xml:space="preserve">本月全勤實領(元)</x:t>
        </x:is>
      </x:c>
      <x:c r="B10" s="5">
        <x:f>ROUND($B$3*($B$9/$B$4),2)</x:f>
        <x:v>1000</x:v>
      </x:c>
    </x:row>
    <x:row r="11" ht="20" customHeight="1">
      <x:c r="A11" s="11" t="inlineStr">
        <x:is>
          <x:t xml:space="preserve">日</x:t>
        </x:is>
      </x:c>
      <x:c r="B11" s="11" t="inlineStr">
        <x:is>
          <x:t xml:space="preserve">上班打卡</x:t>
        </x:is>
      </x:c>
      <x:c r="C11" s="11" t="inlineStr">
        <x:is>
          <x:t xml:space="preserve">原始遲到(分)</x:t>
        </x:is>
      </x:c>
      <x:c r="D11" s="11" t="inlineStr">
        <x:is>
          <x:t xml:space="preserve">計入遲到(分)</x:t>
        </x:is>
      </x:c>
      <x:c r="E11" s="11" t="inlineStr">
        <x:is>
          <x:t xml:space="preserve">計入遲到(時)</x:t>
        </x:is>
      </x:c>
      <x:c r="F11" s="11" t="inlineStr">
        <x:is>
          <x:t xml:space="preserve">備註</x:t>
        </x:is>
      </x:c>
    </x:row>
    <x:row r="12" ht="18" customHeight="1">
      <x:c r="A12" s="12" t="n">
        <x:v>1</x:v>
      </x:c>
      <x:c r="B12" s="13" t="n"/>
      <x:c r="C12" s="14">
        <x:f>IF($B12="","",MAX(0,INT((($B12-$B$5)*1440)+0.000001)))</x:f>
      </x:c>
      <x:c r="D12" s="14">
        <x:f>IF($B12="","",MAX(0,$C12-$B$6))</x:f>
      </x:c>
      <x:c r="E12" s="15">
        <x:f>IF($B12="","",$D12/60)</x:f>
      </x:c>
      <x:c r="F12" s="16" t="inlineStr">
        <x:is>
          <x:t xml:space="preserve"/>
        </x:is>
      </x:c>
    </x:row>
    <x:row r="13" ht="18" customHeight="1">
      <x:c r="A13" s="12" t="n">
        <x:v>2</x:v>
      </x:c>
      <x:c r="B13" s="13" t="n"/>
      <x:c r="C13" s="14">
        <x:f>IF($B13="","",MAX(0,INT((($B13-$B$5)*1440)+0.000001)))</x:f>
      </x:c>
      <x:c r="D13" s="14">
        <x:f>IF($B13="","",MAX(0,$C13-$B$6))</x:f>
      </x:c>
      <x:c r="E13" s="15">
        <x:f>IF($B13="","",$D13/60)</x:f>
      </x:c>
      <x:c r="F13" s="16" t="inlineStr">
        <x:is>
          <x:t xml:space="preserve"/>
        </x:is>
      </x:c>
    </x:row>
    <x:row r="14" ht="18" customHeight="1">
      <x:c r="A14" s="12" t="n">
        <x:v>3</x:v>
      </x:c>
      <x:c r="B14" s="13" t="n"/>
      <x:c r="C14" s="14">
        <x:f>IF($B14="","",MAX(0,INT((($B14-$B$5)*1440)+0.000001)))</x:f>
      </x:c>
      <x:c r="D14" s="14">
        <x:f>IF($B14="","",MAX(0,$C14-$B$6))</x:f>
      </x:c>
      <x:c r="E14" s="15">
        <x:f>IF($B14="","",$D14/60)</x:f>
      </x:c>
      <x:c r="F14" s="16" t="inlineStr">
        <x:is>
          <x:t xml:space="preserve"/>
        </x:is>
      </x:c>
    </x:row>
    <x:row r="15" ht="18" customHeight="1">
      <x:c r="A15" s="12" t="n">
        <x:v>4</x:v>
      </x:c>
      <x:c r="B15" s="13" t="n"/>
      <x:c r="C15" s="14">
        <x:f>IF($B15="","",MAX(0,INT((($B15-$B$5)*1440)+0.000001)))</x:f>
      </x:c>
      <x:c r="D15" s="14">
        <x:f>IF($B15="","",MAX(0,$C15-$B$6))</x:f>
      </x:c>
      <x:c r="E15" s="15">
        <x:f>IF($B15="","",$D15/60)</x:f>
      </x:c>
      <x:c r="F15" s="16" t="inlineStr">
        <x:is>
          <x:t xml:space="preserve"/>
        </x:is>
      </x:c>
    </x:row>
    <x:row r="16" ht="18" customHeight="1">
      <x:c r="A16" s="12" t="n">
        <x:v>5</x:v>
      </x:c>
      <x:c r="B16" s="13" t="n"/>
      <x:c r="C16" s="14">
        <x:f>IF($B16="","",MAX(0,INT((($B16-$B$5)*1440)+0.000001)))</x:f>
      </x:c>
      <x:c r="D16" s="14">
        <x:f>IF($B16="","",MAX(0,$C16-$B$6))</x:f>
      </x:c>
      <x:c r="E16" s="15">
        <x:f>IF($B16="","",$D16/60)</x:f>
      </x:c>
      <x:c r="F16" s="16" t="inlineStr">
        <x:is>
          <x:t xml:space="preserve"/>
        </x:is>
      </x:c>
    </x:row>
    <x:row r="17" ht="18" customHeight="1">
      <x:c r="A17" s="12" t="n">
        <x:v>6</x:v>
      </x:c>
      <x:c r="B17" s="13" t="n"/>
      <x:c r="C17" s="14">
        <x:f>IF($B17="","",MAX(0,INT((($B17-$B$5)*1440)+0.000001)))</x:f>
      </x:c>
      <x:c r="D17" s="14">
        <x:f>IF($B17="","",MAX(0,$C17-$B$6))</x:f>
      </x:c>
      <x:c r="E17" s="15">
        <x:f>IF($B17="","",$D17/60)</x:f>
      </x:c>
      <x:c r="F17" s="16" t="inlineStr">
        <x:is>
          <x:t xml:space="preserve"/>
        </x:is>
      </x:c>
    </x:row>
    <x:row r="18" ht="18" customHeight="1">
      <x:c r="A18" s="12" t="n">
        <x:v>7</x:v>
      </x:c>
      <x:c r="B18" s="13" t="n"/>
      <x:c r="C18" s="14">
        <x:f>IF($B18="","",MAX(0,INT((($B18-$B$5)*1440)+0.000001)))</x:f>
      </x:c>
      <x:c r="D18" s="14">
        <x:f>IF($B18="","",MAX(0,$C18-$B$6))</x:f>
      </x:c>
      <x:c r="E18" s="15">
        <x:f>IF($B18="","",$D18/60)</x:f>
      </x:c>
      <x:c r="F18" s="16" t="inlineStr">
        <x:is>
          <x:t xml:space="preserve"/>
        </x:is>
      </x:c>
    </x:row>
    <x:row r="19" ht="18" customHeight="1">
      <x:c r="A19" s="12" t="n">
        <x:v>8</x:v>
      </x:c>
      <x:c r="B19" s="13" t="n"/>
      <x:c r="C19" s="14">
        <x:f>IF($B19="","",MAX(0,INT((($B19-$B$5)*1440)+0.000001)))</x:f>
      </x:c>
      <x:c r="D19" s="14">
        <x:f>IF($B19="","",MAX(0,$C19-$B$6))</x:f>
      </x:c>
      <x:c r="E19" s="15">
        <x:f>IF($B19="","",$D19/60)</x:f>
      </x:c>
      <x:c r="F19" s="16" t="inlineStr">
        <x:is>
          <x:t xml:space="preserve"/>
        </x:is>
      </x:c>
    </x:row>
    <x:row r="20" ht="18" customHeight="1">
      <x:c r="A20" s="12" t="n">
        <x:v>9</x:v>
      </x:c>
      <x:c r="B20" s="13" t="n"/>
      <x:c r="C20" s="14">
        <x:f>IF($B20="","",MAX(0,INT((($B20-$B$5)*1440)+0.000001)))</x:f>
      </x:c>
      <x:c r="D20" s="14">
        <x:f>IF($B20="","",MAX(0,$C20-$B$6))</x:f>
      </x:c>
      <x:c r="E20" s="15">
        <x:f>IF($B20="","",$D20/60)</x:f>
      </x:c>
      <x:c r="F20" s="16" t="inlineStr">
        <x:is>
          <x:t xml:space="preserve"/>
        </x:is>
      </x:c>
    </x:row>
    <x:row r="21" ht="18" customHeight="1">
      <x:c r="A21" s="12" t="n">
        <x:v>10</x:v>
      </x:c>
      <x:c r="B21" s="13" t="n"/>
      <x:c r="C21" s="14">
        <x:f>IF($B21="","",MAX(0,INT((($B21-$B$5)*1440)+0.000001)))</x:f>
      </x:c>
      <x:c r="D21" s="14">
        <x:f>IF($B21="","",MAX(0,$C21-$B$6))</x:f>
      </x:c>
      <x:c r="E21" s="15">
        <x:f>IF($B21="","",$D21/60)</x:f>
      </x:c>
      <x:c r="F21" s="16" t="inlineStr">
        <x:is>
          <x:t xml:space="preserve"/>
        </x:is>
      </x:c>
    </x:row>
    <x:row r="22" ht="18" customHeight="1">
      <x:c r="A22" s="12" t="n">
        <x:v>11</x:v>
      </x:c>
      <x:c r="B22" s="13" t="n"/>
      <x:c r="C22" s="14">
        <x:f>IF($B22="","",MAX(0,INT((($B22-$B$5)*1440)+0.000001)))</x:f>
      </x:c>
      <x:c r="D22" s="14">
        <x:f>IF($B22="","",MAX(0,$C22-$B$6))</x:f>
      </x:c>
      <x:c r="E22" s="15">
        <x:f>IF($B22="","",$D22/60)</x:f>
      </x:c>
      <x:c r="F22" s="16" t="inlineStr">
        <x:is>
          <x:t xml:space="preserve"/>
        </x:is>
      </x:c>
    </x:row>
    <x:row r="23" ht="18" customHeight="1">
      <x:c r="A23" s="12" t="n">
        <x:v>12</x:v>
      </x:c>
      <x:c r="B23" s="13" t="n"/>
      <x:c r="C23" s="14">
        <x:f>IF($B23="","",MAX(0,INT((($B23-$B$5)*1440)+0.000001)))</x:f>
      </x:c>
      <x:c r="D23" s="14">
        <x:f>IF($B23="","",MAX(0,$C23-$B$6))</x:f>
      </x:c>
      <x:c r="E23" s="15">
        <x:f>IF($B23="","",$D23/60)</x:f>
      </x:c>
      <x:c r="F23" s="16" t="inlineStr">
        <x:is>
          <x:t xml:space="preserve"/>
        </x:is>
      </x:c>
    </x:row>
    <x:row r="24" ht="18" customHeight="1">
      <x:c r="A24" s="12" t="n">
        <x:v>13</x:v>
      </x:c>
      <x:c r="B24" s="13" t="n"/>
      <x:c r="C24" s="14">
        <x:f>IF($B24="","",MAX(0,INT((($B24-$B$5)*1440)+0.000001)))</x:f>
      </x:c>
      <x:c r="D24" s="14">
        <x:f>IF($B24="","",MAX(0,$C24-$B$6))</x:f>
      </x:c>
      <x:c r="E24" s="15">
        <x:f>IF($B24="","",$D24/60)</x:f>
      </x:c>
      <x:c r="F24" s="16" t="inlineStr">
        <x:is>
          <x:t xml:space="preserve"/>
        </x:is>
      </x:c>
    </x:row>
    <x:row r="25" ht="18" customHeight="1">
      <x:c r="A25" s="12" t="n">
        <x:v>14</x:v>
      </x:c>
      <x:c r="B25" s="13" t="n"/>
      <x:c r="C25" s="14">
        <x:f>IF($B25="","",MAX(0,INT((($B25-$B$5)*1440)+0.000001)))</x:f>
      </x:c>
      <x:c r="D25" s="14">
        <x:f>IF($B25="","",MAX(0,$C25-$B$6))</x:f>
      </x:c>
      <x:c r="E25" s="15">
        <x:f>IF($B25="","",$D25/60)</x:f>
      </x:c>
      <x:c r="F25" s="16" t="inlineStr">
        <x:is>
          <x:t xml:space="preserve"/>
        </x:is>
      </x:c>
    </x:row>
    <x:row r="26" ht="18" customHeight="1">
      <x:c r="A26" s="12" t="n">
        <x:v>15</x:v>
      </x:c>
      <x:c r="B26" s="13" t="n"/>
      <x:c r="C26" s="14">
        <x:f>IF($B26="","",MAX(0,INT((($B26-$B$5)*1440)+0.000001)))</x:f>
      </x:c>
      <x:c r="D26" s="14">
        <x:f>IF($B26="","",MAX(0,$C26-$B$6))</x:f>
      </x:c>
      <x:c r="E26" s="15">
        <x:f>IF($B26="","",$D26/60)</x:f>
      </x:c>
      <x:c r="F26" s="16" t="inlineStr">
        <x:is>
          <x:t xml:space="preserve"/>
        </x:is>
      </x:c>
    </x:row>
    <x:row r="27" ht="18" customHeight="1">
      <x:c r="A27" s="12" t="n">
        <x:v>16</x:v>
      </x:c>
      <x:c r="B27" s="13" t="n"/>
      <x:c r="C27" s="14">
        <x:f>IF($B27="","",MAX(0,INT((($B27-$B$5)*1440)+0.000001)))</x:f>
      </x:c>
      <x:c r="D27" s="14">
        <x:f>IF($B27="","",MAX(0,$C27-$B$6))</x:f>
      </x:c>
      <x:c r="E27" s="15">
        <x:f>IF($B27="","",$D27/60)</x:f>
      </x:c>
      <x:c r="F27" s="16" t="inlineStr">
        <x:is>
          <x:t xml:space="preserve"/>
        </x:is>
      </x:c>
    </x:row>
    <x:row r="28" ht="18" customHeight="1">
      <x:c r="A28" s="12" t="n">
        <x:v>17</x:v>
      </x:c>
      <x:c r="B28" s="13" t="n"/>
      <x:c r="C28" s="14">
        <x:f>IF($B28="","",MAX(0,INT((($B28-$B$5)*1440)+0.000001)))</x:f>
      </x:c>
      <x:c r="D28" s="14">
        <x:f>IF($B28="","",MAX(0,$C28-$B$6))</x:f>
      </x:c>
      <x:c r="E28" s="15">
        <x:f>IF($B28="","",$D28/60)</x:f>
      </x:c>
      <x:c r="F28" s="16" t="inlineStr">
        <x:is>
          <x:t xml:space="preserve"/>
        </x:is>
      </x:c>
    </x:row>
    <x:row r="29" ht="18" customHeight="1">
      <x:c r="A29" s="12" t="n">
        <x:v>18</x:v>
      </x:c>
      <x:c r="B29" s="13" t="n"/>
      <x:c r="C29" s="14">
        <x:f>IF($B29="","",MAX(0,INT((($B29-$B$5)*1440)+0.000001)))</x:f>
      </x:c>
      <x:c r="D29" s="14">
        <x:f>IF($B29="","",MAX(0,$C29-$B$6))</x:f>
      </x:c>
      <x:c r="E29" s="15">
        <x:f>IF($B29="","",$D29/60)</x:f>
      </x:c>
      <x:c r="F29" s="16" t="inlineStr">
        <x:is>
          <x:t xml:space="preserve"/>
        </x:is>
      </x:c>
    </x:row>
    <x:row r="30" ht="18" customHeight="1">
      <x:c r="A30" s="12" t="n">
        <x:v>19</x:v>
      </x:c>
      <x:c r="B30" s="13" t="n"/>
      <x:c r="C30" s="14">
        <x:f>IF($B30="","",MAX(0,INT((($B30-$B$5)*1440)+0.000001)))</x:f>
      </x:c>
      <x:c r="D30" s="14">
        <x:f>IF($B30="","",MAX(0,$C30-$B$6))</x:f>
      </x:c>
      <x:c r="E30" s="15">
        <x:f>IF($B30="","",$D30/60)</x:f>
      </x:c>
      <x:c r="F30" s="16" t="inlineStr">
        <x:is>
          <x:t xml:space="preserve"/>
        </x:is>
      </x:c>
    </x:row>
    <x:row r="31" ht="18" customHeight="1">
      <x:c r="A31" s="12" t="n">
        <x:v>20</x:v>
      </x:c>
      <x:c r="B31" s="13" t="n"/>
      <x:c r="C31" s="14">
        <x:f>IF($B31="","",MAX(0,INT((($B31-$B$5)*1440)+0.000001)))</x:f>
      </x:c>
      <x:c r="D31" s="14">
        <x:f>IF($B31="","",MAX(0,$C31-$B$6))</x:f>
      </x:c>
      <x:c r="E31" s="15">
        <x:f>IF($B31="","",$D31/60)</x:f>
      </x:c>
      <x:c r="F31" s="16" t="inlineStr">
        <x:is>
          <x:t xml:space="preserve"/>
        </x:is>
      </x:c>
    </x:row>
    <x:row r="32" ht="18" customHeight="1">
      <x:c r="A32" s="12" t="n">
        <x:v>21</x:v>
      </x:c>
      <x:c r="B32" s="13" t="n"/>
      <x:c r="C32" s="14">
        <x:f>IF($B32="","",MAX(0,INT((($B32-$B$5)*1440)+0.000001)))</x:f>
      </x:c>
      <x:c r="D32" s="14">
        <x:f>IF($B32="","",MAX(0,$C32-$B$6))</x:f>
      </x:c>
      <x:c r="E32" s="15">
        <x:f>IF($B32="","",$D32/60)</x:f>
      </x:c>
      <x:c r="F32" s="16" t="inlineStr">
        <x:is>
          <x:t xml:space="preserve"/>
        </x:is>
      </x:c>
    </x:row>
    <x:row r="33" ht="18" customHeight="1">
      <x:c r="A33" s="12" t="n">
        <x:v>22</x:v>
      </x:c>
      <x:c r="B33" s="13" t="n"/>
      <x:c r="C33" s="14">
        <x:f>IF($B33="","",MAX(0,INT((($B33-$B$5)*1440)+0.000001)))</x:f>
      </x:c>
      <x:c r="D33" s="14">
        <x:f>IF($B33="","",MAX(0,$C33-$B$6))</x:f>
      </x:c>
      <x:c r="E33" s="15">
        <x:f>IF($B33="","",$D33/60)</x:f>
      </x:c>
      <x:c r="F33" s="16" t="inlineStr">
        <x:is>
          <x:t xml:space="preserve"/>
        </x:is>
      </x:c>
    </x:row>
    <x:row r="34" ht="18" customHeight="1">
      <x:c r="A34" s="12" t="n">
        <x:v>23</x:v>
      </x:c>
      <x:c r="B34" s="13" t="n"/>
      <x:c r="C34" s="14">
        <x:f>IF($B34="","",MAX(0,INT((($B34-$B$5)*1440)+0.000001)))</x:f>
      </x:c>
      <x:c r="D34" s="14">
        <x:f>IF($B34="","",MAX(0,$C34-$B$6))</x:f>
      </x:c>
      <x:c r="E34" s="15">
        <x:f>IF($B34="","",$D34/60)</x:f>
      </x:c>
      <x:c r="F34" s="16" t="inlineStr">
        <x:is>
          <x:t xml:space="preserve"/>
        </x:is>
      </x:c>
    </x:row>
    <x:row r="35" ht="18" customHeight="1">
      <x:c r="A35" s="12" t="n">
        <x:v>24</x:v>
      </x:c>
      <x:c r="B35" s="13" t="n"/>
      <x:c r="C35" s="14">
        <x:f>IF($B35="","",MAX(0,INT((($B35-$B$5)*1440)+0.000001)))</x:f>
      </x:c>
      <x:c r="D35" s="14">
        <x:f>IF($B35="","",MAX(0,$C35-$B$6))</x:f>
      </x:c>
      <x:c r="E35" s="15">
        <x:f>IF($B35="","",$D35/60)</x:f>
      </x:c>
      <x:c r="F35" s="16" t="inlineStr">
        <x:is>
          <x:t xml:space="preserve"/>
        </x:is>
      </x:c>
    </x:row>
    <x:row r="36" ht="18" customHeight="1">
      <x:c r="A36" s="12" t="n">
        <x:v>25</x:v>
      </x:c>
      <x:c r="B36" s="13" t="n"/>
      <x:c r="C36" s="14">
        <x:f>IF($B36="","",MAX(0,INT((($B36-$B$5)*1440)+0.000001)))</x:f>
      </x:c>
      <x:c r="D36" s="14">
        <x:f>IF($B36="","",MAX(0,$C36-$B$6))</x:f>
      </x:c>
      <x:c r="E36" s="15">
        <x:f>IF($B36="","",$D36/60)</x:f>
      </x:c>
      <x:c r="F36" s="16" t="inlineStr">
        <x:is>
          <x:t xml:space="preserve"/>
        </x:is>
      </x:c>
    </x:row>
    <x:row r="37" ht="18" customHeight="1">
      <x:c r="A37" s="12" t="n">
        <x:v>26</x:v>
      </x:c>
      <x:c r="B37" s="13" t="n"/>
      <x:c r="C37" s="14">
        <x:f>IF($B37="","",MAX(0,INT((($B37-$B$5)*1440)+0.000001)))</x:f>
      </x:c>
      <x:c r="D37" s="14">
        <x:f>IF($B37="","",MAX(0,$C37-$B$6))</x:f>
      </x:c>
      <x:c r="E37" s="15">
        <x:f>IF($B37="","",$D37/60)</x:f>
      </x:c>
      <x:c r="F37" s="16" t="inlineStr">
        <x:is>
          <x:t xml:space="preserve"/>
        </x:is>
      </x:c>
    </x:row>
    <x:row r="38" ht="18" customHeight="1">
      <x:c r="A38" s="12" t="n">
        <x:v>27</x:v>
      </x:c>
      <x:c r="B38" s="13" t="n"/>
      <x:c r="C38" s="14">
        <x:f>IF($B38="","",MAX(0,INT((($B38-$B$5)*1440)+0.000001)))</x:f>
      </x:c>
      <x:c r="D38" s="14">
        <x:f>IF($B38="","",MAX(0,$C38-$B$6))</x:f>
      </x:c>
      <x:c r="E38" s="15">
        <x:f>IF($B38="","",$D38/60)</x:f>
      </x:c>
      <x:c r="F38" s="16" t="inlineStr">
        <x:is>
          <x:t xml:space="preserve"/>
        </x:is>
      </x:c>
    </x:row>
    <x:row r="39" ht="18" customHeight="1">
      <x:c r="A39" s="12" t="n">
        <x:v>28</x:v>
      </x:c>
      <x:c r="B39" s="13" t="n"/>
      <x:c r="C39" s="14">
        <x:f>IF($B39="","",MAX(0,INT((($B39-$B$5)*1440)+0.000001)))</x:f>
      </x:c>
      <x:c r="D39" s="14">
        <x:f>IF($B39="","",MAX(0,$C39-$B$6))</x:f>
      </x:c>
      <x:c r="E39" s="15">
        <x:f>IF($B39="","",$D39/60)</x:f>
      </x:c>
      <x:c r="F39" s="16" t="inlineStr">
        <x:is>
          <x:t xml:space="preserve"/>
        </x:is>
      </x:c>
    </x:row>
    <x:row r="40" ht="18" customHeight="1">
      <x:c r="A40" s="12" t="n">
        <x:v>29</x:v>
      </x:c>
      <x:c r="B40" s="13" t="n"/>
      <x:c r="C40" s="14">
        <x:f>IF($B40="","",MAX(0,INT((($B40-$B$5)*1440)+0.000001)))</x:f>
      </x:c>
      <x:c r="D40" s="14">
        <x:f>IF($B40="","",MAX(0,$C40-$B$6))</x:f>
      </x:c>
      <x:c r="E40" s="15">
        <x:f>IF($B40="","",$D40/60)</x:f>
      </x:c>
      <x:c r="F40" s="16" t="inlineStr">
        <x:is>
          <x:t xml:space="preserve"/>
        </x:is>
      </x:c>
    </x:row>
    <x:row r="41" ht="18" customHeight="1">
      <x:c r="A41" s="12" t="n">
        <x:v>30</x:v>
      </x:c>
      <x:c r="B41" s="13" t="n"/>
      <x:c r="C41" s="14">
        <x:f>IF($B41="","",MAX(0,INT((($B41-$B$5)*1440)+0.000001)))</x:f>
      </x:c>
      <x:c r="D41" s="14">
        <x:f>IF($B41="","",MAX(0,$C41-$B$6))</x:f>
      </x:c>
      <x:c r="E41" s="15">
        <x:f>IF($B41="","",$D41/60)</x:f>
      </x:c>
      <x:c r="F41" s="16" t="inlineStr">
        <x:is>
          <x:t xml:space="preserve"/>
        </x:is>
      </x:c>
    </x:row>
    <x:row r="42" ht="18" customHeight="1">
      <x:c r="A42" s="12" t="n">
        <x:v>31</x:v>
      </x:c>
      <x:c r="B42" s="13" t="n"/>
      <x:c r="C42" s="14">
        <x:f>IF($B42="","",MAX(0,INT((($B42-$B$5)*1440)+0.000001)))</x:f>
      </x:c>
      <x:c r="D42" s="14">
        <x:f>IF($B42="","",MAX(0,$C42-$B$6))</x:f>
      </x:c>
      <x:c r="E42" s="15">
        <x:f>IF($B42="","",$D42/60)</x:f>
      </x:c>
      <x:c r="F42" s="16" t="inlineStr">
        <x:is>
          <x:t xml:space="preserve"/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customWidth="1"/>
    <x:col min="2" max="2" width="16" customWidth="1"/>
    <x:col min="3" max="3" width="14" customWidth="1"/>
    <x:col min="4" max="4" width="18" customWidth="1"/>
    <x:col min="5" max="5" width="16" customWidth="1"/>
    <x:col min="6" max="6" width="22" customWidth="1"/>
  </x:cols>
  <x:sheetData>
    <x:row r="1" ht="26" customHeight="1">
      <x:c r="A1" s="1" t="inlineStr">
        <x:is>
          <x:t xml:space="preserve">11月｜全勤獎金按實際上班時數比例計算</x:t>
        </x:is>
      </x:c>
    </x:row>
    <x:row r="2" ht="34" customHeight="1">
      <x:c r="A2" s="2" t="inlineStr">
        <x:is>
          <x:t xml:space="preserve">說明：打卡時間輸入在「上班打卡」欄。遲到先以(打卡-基準)算分鐘；前「免計分鐘」不扣，從第31分鐘起才開始計入。</x:t>
        </x:is>
      </x:c>
    </x:row>
    <x:row r="3">
      <x:c r="A3" s="3" t="inlineStr">
        <x:is>
          <x:t xml:space="preserve">全勤獎金(元)</x:t>
        </x:is>
      </x:c>
      <x:c r="B3" s="4" t="n">
        <x:v>1000</x:v>
      </x:c>
      <x:c r="D3" s="3" t="inlineStr">
        <x:is>
          <x:t xml:space="preserve">本月全勤扣除(元)</x:t>
        </x:is>
      </x:c>
      <x:c r="E3" s="5">
        <x:f>ROUND($B$3-$B$10,2)</x:f>
        <x:v>0</x:v>
      </x:c>
    </x:row>
    <x:row r="4">
      <x:c r="A4" s="3" t="inlineStr">
        <x:is>
          <x:t xml:space="preserve">應上班時數(小時)</x:t>
        </x:is>
      </x:c>
      <x:c r="B4" s="6" t="n">
        <x:v>184</x:v>
      </x:c>
    </x:row>
    <x:row r="5">
      <x:c r="A5" s="3" t="inlineStr">
        <x:is>
          <x:t xml:space="preserve">上班時間(基準)</x:t>
        </x:is>
      </x:c>
      <x:c r="B5" s="7" t="n">
        <x:v>0.3541666666666667</x:v>
      </x:c>
    </x:row>
    <x:row r="6">
      <x:c r="A6" s="3" t="inlineStr">
        <x:is>
          <x:t xml:space="preserve">遲到免計(分鐘)</x:t>
        </x:is>
      </x:c>
      <x:c r="B6" s="8" t="n">
        <x:v>30</x:v>
      </x:c>
    </x:row>
    <x:row r="7">
      <x:c r="A7" s="3" t="inlineStr">
        <x:is>
          <x:t xml:space="preserve">合計有效遲到(分鐘)</x:t>
        </x:is>
      </x:c>
      <x:c r="B7" s="9">
        <x:f>SUM($D$12:$D$42)</x:f>
        <x:v>0</x:v>
      </x:c>
    </x:row>
    <x:row r="8">
      <x:c r="A8" s="3" t="inlineStr">
        <x:is>
          <x:t xml:space="preserve">合計有效遲到(小時)</x:t>
        </x:is>
      </x:c>
      <x:c r="B8" s="10">
        <x:f>$B$7/60</x:f>
        <x:v>0</x:v>
      </x:c>
    </x:row>
    <x:row r="9">
      <x:c r="A9" s="3" t="inlineStr">
        <x:is>
          <x:t xml:space="preserve">實際上班時數(小時)</x:t>
        </x:is>
      </x:c>
      <x:c r="B9" s="10">
        <x:f>MAX(0,$B$4-$B$8)</x:f>
        <x:v>184</x:v>
      </x:c>
    </x:row>
    <x:row r="10">
      <x:c r="A10" s="3" t="inlineStr">
        <x:is>
          <x:t xml:space="preserve">本月全勤實領(元)</x:t>
        </x:is>
      </x:c>
      <x:c r="B10" s="5">
        <x:f>ROUND($B$3*($B$9/$B$4),2)</x:f>
        <x:v>1000</x:v>
      </x:c>
    </x:row>
    <x:row r="11" ht="20" customHeight="1">
      <x:c r="A11" s="11" t="inlineStr">
        <x:is>
          <x:t xml:space="preserve">日</x:t>
        </x:is>
      </x:c>
      <x:c r="B11" s="11" t="inlineStr">
        <x:is>
          <x:t xml:space="preserve">上班打卡</x:t>
        </x:is>
      </x:c>
      <x:c r="C11" s="11" t="inlineStr">
        <x:is>
          <x:t xml:space="preserve">原始遲到(分)</x:t>
        </x:is>
      </x:c>
      <x:c r="D11" s="11" t="inlineStr">
        <x:is>
          <x:t xml:space="preserve">計入遲到(分)</x:t>
        </x:is>
      </x:c>
      <x:c r="E11" s="11" t="inlineStr">
        <x:is>
          <x:t xml:space="preserve">計入遲到(時)</x:t>
        </x:is>
      </x:c>
      <x:c r="F11" s="11" t="inlineStr">
        <x:is>
          <x:t xml:space="preserve">備註</x:t>
        </x:is>
      </x:c>
    </x:row>
    <x:row r="12" ht="18" customHeight="1">
      <x:c r="A12" s="12" t="n">
        <x:v>1</x:v>
      </x:c>
      <x:c r="B12" s="13" t="n"/>
      <x:c r="C12" s="14">
        <x:f>IF($B12="","",MAX(0,INT((($B12-$B$5)*1440)+0.000001)))</x:f>
      </x:c>
      <x:c r="D12" s="14">
        <x:f>IF($B12="","",MAX(0,$C12-$B$6))</x:f>
      </x:c>
      <x:c r="E12" s="15">
        <x:f>IF($B12="","",$D12/60)</x:f>
      </x:c>
      <x:c r="F12" s="16" t="inlineStr">
        <x:is>
          <x:t xml:space="preserve"/>
        </x:is>
      </x:c>
    </x:row>
    <x:row r="13" ht="18" customHeight="1">
      <x:c r="A13" s="12" t="n">
        <x:v>2</x:v>
      </x:c>
      <x:c r="B13" s="13" t="n"/>
      <x:c r="C13" s="14">
        <x:f>IF($B13="","",MAX(0,INT((($B13-$B$5)*1440)+0.000001)))</x:f>
      </x:c>
      <x:c r="D13" s="14">
        <x:f>IF($B13="","",MAX(0,$C13-$B$6))</x:f>
      </x:c>
      <x:c r="E13" s="15">
        <x:f>IF($B13="","",$D13/60)</x:f>
      </x:c>
      <x:c r="F13" s="16" t="inlineStr">
        <x:is>
          <x:t xml:space="preserve"/>
        </x:is>
      </x:c>
    </x:row>
    <x:row r="14" ht="18" customHeight="1">
      <x:c r="A14" s="12" t="n">
        <x:v>3</x:v>
      </x:c>
      <x:c r="B14" s="13" t="n"/>
      <x:c r="C14" s="14">
        <x:f>IF($B14="","",MAX(0,INT((($B14-$B$5)*1440)+0.000001)))</x:f>
      </x:c>
      <x:c r="D14" s="14">
        <x:f>IF($B14="","",MAX(0,$C14-$B$6))</x:f>
      </x:c>
      <x:c r="E14" s="15">
        <x:f>IF($B14="","",$D14/60)</x:f>
      </x:c>
      <x:c r="F14" s="16" t="inlineStr">
        <x:is>
          <x:t xml:space="preserve"/>
        </x:is>
      </x:c>
    </x:row>
    <x:row r="15" ht="18" customHeight="1">
      <x:c r="A15" s="12" t="n">
        <x:v>4</x:v>
      </x:c>
      <x:c r="B15" s="13" t="n"/>
      <x:c r="C15" s="14">
        <x:f>IF($B15="","",MAX(0,INT((($B15-$B$5)*1440)+0.000001)))</x:f>
      </x:c>
      <x:c r="D15" s="14">
        <x:f>IF($B15="","",MAX(0,$C15-$B$6))</x:f>
      </x:c>
      <x:c r="E15" s="15">
        <x:f>IF($B15="","",$D15/60)</x:f>
      </x:c>
      <x:c r="F15" s="16" t="inlineStr">
        <x:is>
          <x:t xml:space="preserve"/>
        </x:is>
      </x:c>
    </x:row>
    <x:row r="16" ht="18" customHeight="1">
      <x:c r="A16" s="12" t="n">
        <x:v>5</x:v>
      </x:c>
      <x:c r="B16" s="13" t="n"/>
      <x:c r="C16" s="14">
        <x:f>IF($B16="","",MAX(0,INT((($B16-$B$5)*1440)+0.000001)))</x:f>
      </x:c>
      <x:c r="D16" s="14">
        <x:f>IF($B16="","",MAX(0,$C16-$B$6))</x:f>
      </x:c>
      <x:c r="E16" s="15">
        <x:f>IF($B16="","",$D16/60)</x:f>
      </x:c>
      <x:c r="F16" s="16" t="inlineStr">
        <x:is>
          <x:t xml:space="preserve"/>
        </x:is>
      </x:c>
    </x:row>
    <x:row r="17" ht="18" customHeight="1">
      <x:c r="A17" s="12" t="n">
        <x:v>6</x:v>
      </x:c>
      <x:c r="B17" s="13" t="n"/>
      <x:c r="C17" s="14">
        <x:f>IF($B17="","",MAX(0,INT((($B17-$B$5)*1440)+0.000001)))</x:f>
      </x:c>
      <x:c r="D17" s="14">
        <x:f>IF($B17="","",MAX(0,$C17-$B$6))</x:f>
      </x:c>
      <x:c r="E17" s="15">
        <x:f>IF($B17="","",$D17/60)</x:f>
      </x:c>
      <x:c r="F17" s="16" t="inlineStr">
        <x:is>
          <x:t xml:space="preserve"/>
        </x:is>
      </x:c>
    </x:row>
    <x:row r="18" ht="18" customHeight="1">
      <x:c r="A18" s="12" t="n">
        <x:v>7</x:v>
      </x:c>
      <x:c r="B18" s="13" t="n"/>
      <x:c r="C18" s="14">
        <x:f>IF($B18="","",MAX(0,INT((($B18-$B$5)*1440)+0.000001)))</x:f>
      </x:c>
      <x:c r="D18" s="14">
        <x:f>IF($B18="","",MAX(0,$C18-$B$6))</x:f>
      </x:c>
      <x:c r="E18" s="15">
        <x:f>IF($B18="","",$D18/60)</x:f>
      </x:c>
      <x:c r="F18" s="16" t="inlineStr">
        <x:is>
          <x:t xml:space="preserve"/>
        </x:is>
      </x:c>
    </x:row>
    <x:row r="19" ht="18" customHeight="1">
      <x:c r="A19" s="12" t="n">
        <x:v>8</x:v>
      </x:c>
      <x:c r="B19" s="13" t="n"/>
      <x:c r="C19" s="14">
        <x:f>IF($B19="","",MAX(0,INT((($B19-$B$5)*1440)+0.000001)))</x:f>
      </x:c>
      <x:c r="D19" s="14">
        <x:f>IF($B19="","",MAX(0,$C19-$B$6))</x:f>
      </x:c>
      <x:c r="E19" s="15">
        <x:f>IF($B19="","",$D19/60)</x:f>
      </x:c>
      <x:c r="F19" s="16" t="inlineStr">
        <x:is>
          <x:t xml:space="preserve"/>
        </x:is>
      </x:c>
    </x:row>
    <x:row r="20" ht="18" customHeight="1">
      <x:c r="A20" s="12" t="n">
        <x:v>9</x:v>
      </x:c>
      <x:c r="B20" s="13" t="n"/>
      <x:c r="C20" s="14">
        <x:f>IF($B20="","",MAX(0,INT((($B20-$B$5)*1440)+0.000001)))</x:f>
      </x:c>
      <x:c r="D20" s="14">
        <x:f>IF($B20="","",MAX(0,$C20-$B$6))</x:f>
      </x:c>
      <x:c r="E20" s="15">
        <x:f>IF($B20="","",$D20/60)</x:f>
      </x:c>
      <x:c r="F20" s="16" t="inlineStr">
        <x:is>
          <x:t xml:space="preserve"/>
        </x:is>
      </x:c>
    </x:row>
    <x:row r="21" ht="18" customHeight="1">
      <x:c r="A21" s="12" t="n">
        <x:v>10</x:v>
      </x:c>
      <x:c r="B21" s="13" t="n"/>
      <x:c r="C21" s="14">
        <x:f>IF($B21="","",MAX(0,INT((($B21-$B$5)*1440)+0.000001)))</x:f>
      </x:c>
      <x:c r="D21" s="14">
        <x:f>IF($B21="","",MAX(0,$C21-$B$6))</x:f>
      </x:c>
      <x:c r="E21" s="15">
        <x:f>IF($B21="","",$D21/60)</x:f>
      </x:c>
      <x:c r="F21" s="16" t="inlineStr">
        <x:is>
          <x:t xml:space="preserve"/>
        </x:is>
      </x:c>
    </x:row>
    <x:row r="22" ht="18" customHeight="1">
      <x:c r="A22" s="12" t="n">
        <x:v>11</x:v>
      </x:c>
      <x:c r="B22" s="13" t="n"/>
      <x:c r="C22" s="14">
        <x:f>IF($B22="","",MAX(0,INT((($B22-$B$5)*1440)+0.000001)))</x:f>
      </x:c>
      <x:c r="D22" s="14">
        <x:f>IF($B22="","",MAX(0,$C22-$B$6))</x:f>
      </x:c>
      <x:c r="E22" s="15">
        <x:f>IF($B22="","",$D22/60)</x:f>
      </x:c>
      <x:c r="F22" s="16" t="inlineStr">
        <x:is>
          <x:t xml:space="preserve"/>
        </x:is>
      </x:c>
    </x:row>
    <x:row r="23" ht="18" customHeight="1">
      <x:c r="A23" s="12" t="n">
        <x:v>12</x:v>
      </x:c>
      <x:c r="B23" s="13" t="n"/>
      <x:c r="C23" s="14">
        <x:f>IF($B23="","",MAX(0,INT((($B23-$B$5)*1440)+0.000001)))</x:f>
      </x:c>
      <x:c r="D23" s="14">
        <x:f>IF($B23="","",MAX(0,$C23-$B$6))</x:f>
      </x:c>
      <x:c r="E23" s="15">
        <x:f>IF($B23="","",$D23/60)</x:f>
      </x:c>
      <x:c r="F23" s="16" t="inlineStr">
        <x:is>
          <x:t xml:space="preserve"/>
        </x:is>
      </x:c>
    </x:row>
    <x:row r="24" ht="18" customHeight="1">
      <x:c r="A24" s="12" t="n">
        <x:v>13</x:v>
      </x:c>
      <x:c r="B24" s="13" t="n"/>
      <x:c r="C24" s="14">
        <x:f>IF($B24="","",MAX(0,INT((($B24-$B$5)*1440)+0.000001)))</x:f>
      </x:c>
      <x:c r="D24" s="14">
        <x:f>IF($B24="","",MAX(0,$C24-$B$6))</x:f>
      </x:c>
      <x:c r="E24" s="15">
        <x:f>IF($B24="","",$D24/60)</x:f>
      </x:c>
      <x:c r="F24" s="16" t="inlineStr">
        <x:is>
          <x:t xml:space="preserve"/>
        </x:is>
      </x:c>
    </x:row>
    <x:row r="25" ht="18" customHeight="1">
      <x:c r="A25" s="12" t="n">
        <x:v>14</x:v>
      </x:c>
      <x:c r="B25" s="13" t="n"/>
      <x:c r="C25" s="14">
        <x:f>IF($B25="","",MAX(0,INT((($B25-$B$5)*1440)+0.000001)))</x:f>
      </x:c>
      <x:c r="D25" s="14">
        <x:f>IF($B25="","",MAX(0,$C25-$B$6))</x:f>
      </x:c>
      <x:c r="E25" s="15">
        <x:f>IF($B25="","",$D25/60)</x:f>
      </x:c>
      <x:c r="F25" s="16" t="inlineStr">
        <x:is>
          <x:t xml:space="preserve"/>
        </x:is>
      </x:c>
    </x:row>
    <x:row r="26" ht="18" customHeight="1">
      <x:c r="A26" s="12" t="n">
        <x:v>15</x:v>
      </x:c>
      <x:c r="B26" s="13" t="n"/>
      <x:c r="C26" s="14">
        <x:f>IF($B26="","",MAX(0,INT((($B26-$B$5)*1440)+0.000001)))</x:f>
      </x:c>
      <x:c r="D26" s="14">
        <x:f>IF($B26="","",MAX(0,$C26-$B$6))</x:f>
      </x:c>
      <x:c r="E26" s="15">
        <x:f>IF($B26="","",$D26/60)</x:f>
      </x:c>
      <x:c r="F26" s="16" t="inlineStr">
        <x:is>
          <x:t xml:space="preserve"/>
        </x:is>
      </x:c>
    </x:row>
    <x:row r="27" ht="18" customHeight="1">
      <x:c r="A27" s="12" t="n">
        <x:v>16</x:v>
      </x:c>
      <x:c r="B27" s="13" t="n"/>
      <x:c r="C27" s="14">
        <x:f>IF($B27="","",MAX(0,INT((($B27-$B$5)*1440)+0.000001)))</x:f>
      </x:c>
      <x:c r="D27" s="14">
        <x:f>IF($B27="","",MAX(0,$C27-$B$6))</x:f>
      </x:c>
      <x:c r="E27" s="15">
        <x:f>IF($B27="","",$D27/60)</x:f>
      </x:c>
      <x:c r="F27" s="16" t="inlineStr">
        <x:is>
          <x:t xml:space="preserve"/>
        </x:is>
      </x:c>
    </x:row>
    <x:row r="28" ht="18" customHeight="1">
      <x:c r="A28" s="12" t="n">
        <x:v>17</x:v>
      </x:c>
      <x:c r="B28" s="13" t="n"/>
      <x:c r="C28" s="14">
        <x:f>IF($B28="","",MAX(0,INT((($B28-$B$5)*1440)+0.000001)))</x:f>
      </x:c>
      <x:c r="D28" s="14">
        <x:f>IF($B28="","",MAX(0,$C28-$B$6))</x:f>
      </x:c>
      <x:c r="E28" s="15">
        <x:f>IF($B28="","",$D28/60)</x:f>
      </x:c>
      <x:c r="F28" s="16" t="inlineStr">
        <x:is>
          <x:t xml:space="preserve"/>
        </x:is>
      </x:c>
    </x:row>
    <x:row r="29" ht="18" customHeight="1">
      <x:c r="A29" s="12" t="n">
        <x:v>18</x:v>
      </x:c>
      <x:c r="B29" s="13" t="n"/>
      <x:c r="C29" s="14">
        <x:f>IF($B29="","",MAX(0,INT((($B29-$B$5)*1440)+0.000001)))</x:f>
      </x:c>
      <x:c r="D29" s="14">
        <x:f>IF($B29="","",MAX(0,$C29-$B$6))</x:f>
      </x:c>
      <x:c r="E29" s="15">
        <x:f>IF($B29="","",$D29/60)</x:f>
      </x:c>
      <x:c r="F29" s="16" t="inlineStr">
        <x:is>
          <x:t xml:space="preserve"/>
        </x:is>
      </x:c>
    </x:row>
    <x:row r="30" ht="18" customHeight="1">
      <x:c r="A30" s="12" t="n">
        <x:v>19</x:v>
      </x:c>
      <x:c r="B30" s="13" t="n"/>
      <x:c r="C30" s="14">
        <x:f>IF($B30="","",MAX(0,INT((($B30-$B$5)*1440)+0.000001)))</x:f>
      </x:c>
      <x:c r="D30" s="14">
        <x:f>IF($B30="","",MAX(0,$C30-$B$6))</x:f>
      </x:c>
      <x:c r="E30" s="15">
        <x:f>IF($B30="","",$D30/60)</x:f>
      </x:c>
      <x:c r="F30" s="16" t="inlineStr">
        <x:is>
          <x:t xml:space="preserve"/>
        </x:is>
      </x:c>
    </x:row>
    <x:row r="31" ht="18" customHeight="1">
      <x:c r="A31" s="12" t="n">
        <x:v>20</x:v>
      </x:c>
      <x:c r="B31" s="13" t="n"/>
      <x:c r="C31" s="14">
        <x:f>IF($B31="","",MAX(0,INT((($B31-$B$5)*1440)+0.000001)))</x:f>
      </x:c>
      <x:c r="D31" s="14">
        <x:f>IF($B31="","",MAX(0,$C31-$B$6))</x:f>
      </x:c>
      <x:c r="E31" s="15">
        <x:f>IF($B31="","",$D31/60)</x:f>
      </x:c>
      <x:c r="F31" s="16" t="inlineStr">
        <x:is>
          <x:t xml:space="preserve"/>
        </x:is>
      </x:c>
    </x:row>
    <x:row r="32" ht="18" customHeight="1">
      <x:c r="A32" s="12" t="n">
        <x:v>21</x:v>
      </x:c>
      <x:c r="B32" s="13" t="n"/>
      <x:c r="C32" s="14">
        <x:f>IF($B32="","",MAX(0,INT((($B32-$B$5)*1440)+0.000001)))</x:f>
      </x:c>
      <x:c r="D32" s="14">
        <x:f>IF($B32="","",MAX(0,$C32-$B$6))</x:f>
      </x:c>
      <x:c r="E32" s="15">
        <x:f>IF($B32="","",$D32/60)</x:f>
      </x:c>
      <x:c r="F32" s="16" t="inlineStr">
        <x:is>
          <x:t xml:space="preserve"/>
        </x:is>
      </x:c>
    </x:row>
    <x:row r="33" ht="18" customHeight="1">
      <x:c r="A33" s="12" t="n">
        <x:v>22</x:v>
      </x:c>
      <x:c r="B33" s="13" t="n"/>
      <x:c r="C33" s="14">
        <x:f>IF($B33="","",MAX(0,INT((($B33-$B$5)*1440)+0.000001)))</x:f>
      </x:c>
      <x:c r="D33" s="14">
        <x:f>IF($B33="","",MAX(0,$C33-$B$6))</x:f>
      </x:c>
      <x:c r="E33" s="15">
        <x:f>IF($B33="","",$D33/60)</x:f>
      </x:c>
      <x:c r="F33" s="16" t="inlineStr">
        <x:is>
          <x:t xml:space="preserve"/>
        </x:is>
      </x:c>
    </x:row>
    <x:row r="34" ht="18" customHeight="1">
      <x:c r="A34" s="12" t="n">
        <x:v>23</x:v>
      </x:c>
      <x:c r="B34" s="13" t="n"/>
      <x:c r="C34" s="14">
        <x:f>IF($B34="","",MAX(0,INT((($B34-$B$5)*1440)+0.000001)))</x:f>
      </x:c>
      <x:c r="D34" s="14">
        <x:f>IF($B34="","",MAX(0,$C34-$B$6))</x:f>
      </x:c>
      <x:c r="E34" s="15">
        <x:f>IF($B34="","",$D34/60)</x:f>
      </x:c>
      <x:c r="F34" s="16" t="inlineStr">
        <x:is>
          <x:t xml:space="preserve"/>
        </x:is>
      </x:c>
    </x:row>
    <x:row r="35" ht="18" customHeight="1">
      <x:c r="A35" s="12" t="n">
        <x:v>24</x:v>
      </x:c>
      <x:c r="B35" s="13" t="n"/>
      <x:c r="C35" s="14">
        <x:f>IF($B35="","",MAX(0,INT((($B35-$B$5)*1440)+0.000001)))</x:f>
      </x:c>
      <x:c r="D35" s="14">
        <x:f>IF($B35="","",MAX(0,$C35-$B$6))</x:f>
      </x:c>
      <x:c r="E35" s="15">
        <x:f>IF($B35="","",$D35/60)</x:f>
      </x:c>
      <x:c r="F35" s="16" t="inlineStr">
        <x:is>
          <x:t xml:space="preserve"/>
        </x:is>
      </x:c>
    </x:row>
    <x:row r="36" ht="18" customHeight="1">
      <x:c r="A36" s="12" t="n">
        <x:v>25</x:v>
      </x:c>
      <x:c r="B36" s="13" t="n"/>
      <x:c r="C36" s="14">
        <x:f>IF($B36="","",MAX(0,INT((($B36-$B$5)*1440)+0.000001)))</x:f>
      </x:c>
      <x:c r="D36" s="14">
        <x:f>IF($B36="","",MAX(0,$C36-$B$6))</x:f>
      </x:c>
      <x:c r="E36" s="15">
        <x:f>IF($B36="","",$D36/60)</x:f>
      </x:c>
      <x:c r="F36" s="16" t="inlineStr">
        <x:is>
          <x:t xml:space="preserve"/>
        </x:is>
      </x:c>
    </x:row>
    <x:row r="37" ht="18" customHeight="1">
      <x:c r="A37" s="12" t="n">
        <x:v>26</x:v>
      </x:c>
      <x:c r="B37" s="13" t="n"/>
      <x:c r="C37" s="14">
        <x:f>IF($B37="","",MAX(0,INT((($B37-$B$5)*1440)+0.000001)))</x:f>
      </x:c>
      <x:c r="D37" s="14">
        <x:f>IF($B37="","",MAX(0,$C37-$B$6))</x:f>
      </x:c>
      <x:c r="E37" s="15">
        <x:f>IF($B37="","",$D37/60)</x:f>
      </x:c>
      <x:c r="F37" s="16" t="inlineStr">
        <x:is>
          <x:t xml:space="preserve"/>
        </x:is>
      </x:c>
    </x:row>
    <x:row r="38" ht="18" customHeight="1">
      <x:c r="A38" s="12" t="n">
        <x:v>27</x:v>
      </x:c>
      <x:c r="B38" s="13" t="n"/>
      <x:c r="C38" s="14">
        <x:f>IF($B38="","",MAX(0,INT((($B38-$B$5)*1440)+0.000001)))</x:f>
      </x:c>
      <x:c r="D38" s="14">
        <x:f>IF($B38="","",MAX(0,$C38-$B$6))</x:f>
      </x:c>
      <x:c r="E38" s="15">
        <x:f>IF($B38="","",$D38/60)</x:f>
      </x:c>
      <x:c r="F38" s="16" t="inlineStr">
        <x:is>
          <x:t xml:space="preserve"/>
        </x:is>
      </x:c>
    </x:row>
    <x:row r="39" ht="18" customHeight="1">
      <x:c r="A39" s="12" t="n">
        <x:v>28</x:v>
      </x:c>
      <x:c r="B39" s="13" t="n"/>
      <x:c r="C39" s="14">
        <x:f>IF($B39="","",MAX(0,INT((($B39-$B$5)*1440)+0.000001)))</x:f>
      </x:c>
      <x:c r="D39" s="14">
        <x:f>IF($B39="","",MAX(0,$C39-$B$6))</x:f>
      </x:c>
      <x:c r="E39" s="15">
        <x:f>IF($B39="","",$D39/60)</x:f>
      </x:c>
      <x:c r="F39" s="16" t="inlineStr">
        <x:is>
          <x:t xml:space="preserve"/>
        </x:is>
      </x:c>
    </x:row>
    <x:row r="40" ht="18" customHeight="1">
      <x:c r="A40" s="12" t="n">
        <x:v>29</x:v>
      </x:c>
      <x:c r="B40" s="13" t="n"/>
      <x:c r="C40" s="14">
        <x:f>IF($B40="","",MAX(0,INT((($B40-$B$5)*1440)+0.000001)))</x:f>
      </x:c>
      <x:c r="D40" s="14">
        <x:f>IF($B40="","",MAX(0,$C40-$B$6))</x:f>
      </x:c>
      <x:c r="E40" s="15">
        <x:f>IF($B40="","",$D40/60)</x:f>
      </x:c>
      <x:c r="F40" s="16" t="inlineStr">
        <x:is>
          <x:t xml:space="preserve"/>
        </x:is>
      </x:c>
    </x:row>
    <x:row r="41" ht="18" customHeight="1">
      <x:c r="A41" s="12" t="n">
        <x:v>30</x:v>
      </x:c>
      <x:c r="B41" s="13" t="n"/>
      <x:c r="C41" s="14">
        <x:f>IF($B41="","",MAX(0,INT((($B41-$B$5)*1440)+0.000001)))</x:f>
      </x:c>
      <x:c r="D41" s="14">
        <x:f>IF($B41="","",MAX(0,$C41-$B$6))</x:f>
      </x:c>
      <x:c r="E41" s="15">
        <x:f>IF($B41="","",$D41/60)</x:f>
      </x:c>
      <x:c r="F41" s="16" t="inlineStr">
        <x:is>
          <x:t xml:space="preserve"/>
        </x:is>
      </x:c>
    </x:row>
    <x:row r="42" ht="18" customHeight="1">
      <x:c r="A42" s="12" t="n">
        <x:v>31</x:v>
      </x:c>
      <x:c r="B42" s="13" t="n"/>
      <x:c r="C42" s="14">
        <x:f>IF($B42="","",MAX(0,INT((($B42-$B$5)*1440)+0.000001)))</x:f>
      </x:c>
      <x:c r="D42" s="14">
        <x:f>IF($B42="","",MAX(0,$C42-$B$6))</x:f>
      </x:c>
      <x:c r="E42" s="15">
        <x:f>IF($B42="","",$D42/60)</x:f>
      </x:c>
      <x:c r="F42" s="16" t="inlineStr">
        <x:is>
          <x:t xml:space="preserve"/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customWidth="1"/>
    <x:col min="2" max="2" width="16" customWidth="1"/>
    <x:col min="3" max="3" width="14" customWidth="1"/>
    <x:col min="4" max="4" width="18" customWidth="1"/>
    <x:col min="5" max="5" width="16" customWidth="1"/>
    <x:col min="6" max="6" width="22" customWidth="1"/>
  </x:cols>
  <x:sheetData>
    <x:row r="1" ht="26" customHeight="1">
      <x:c r="A1" s="1" t="inlineStr">
        <x:is>
          <x:t xml:space="preserve">12月｜全勤獎金按實際上班時數比例計算</x:t>
        </x:is>
      </x:c>
    </x:row>
    <x:row r="2" ht="34" customHeight="1">
      <x:c r="A2" s="2" t="inlineStr">
        <x:is>
          <x:t xml:space="preserve">說明：打卡時間輸入在「上班打卡」欄。遲到先以(打卡-基準)算分鐘；前「免計分鐘」不扣，從第31分鐘起才開始計入。</x:t>
        </x:is>
      </x:c>
    </x:row>
    <x:row r="3">
      <x:c r="A3" s="3" t="inlineStr">
        <x:is>
          <x:t xml:space="preserve">全勤獎金(元)</x:t>
        </x:is>
      </x:c>
      <x:c r="B3" s="4" t="n">
        <x:v>1000</x:v>
      </x:c>
      <x:c r="D3" s="3" t="inlineStr">
        <x:is>
          <x:t xml:space="preserve">本月全勤扣除(元)</x:t>
        </x:is>
      </x:c>
      <x:c r="E3" s="5">
        <x:f>ROUND($B$3-$B$10,2)</x:f>
        <x:v>0</x:v>
      </x:c>
    </x:row>
    <x:row r="4">
      <x:c r="A4" s="3" t="inlineStr">
        <x:is>
          <x:t xml:space="preserve">應上班時數(小時)</x:t>
        </x:is>
      </x:c>
      <x:c r="B4" s="6" t="n">
        <x:v>184</x:v>
      </x:c>
    </x:row>
    <x:row r="5">
      <x:c r="A5" s="3" t="inlineStr">
        <x:is>
          <x:t xml:space="preserve">上班時間(基準)</x:t>
        </x:is>
      </x:c>
      <x:c r="B5" s="7" t="n">
        <x:v>0.3541666666666667</x:v>
      </x:c>
    </x:row>
    <x:row r="6">
      <x:c r="A6" s="3" t="inlineStr">
        <x:is>
          <x:t xml:space="preserve">遲到免計(分鐘)</x:t>
        </x:is>
      </x:c>
      <x:c r="B6" s="8" t="n">
        <x:v>30</x:v>
      </x:c>
    </x:row>
    <x:row r="7">
      <x:c r="A7" s="3" t="inlineStr">
        <x:is>
          <x:t xml:space="preserve">合計有效遲到(分鐘)</x:t>
        </x:is>
      </x:c>
      <x:c r="B7" s="9">
        <x:f>SUM($D$12:$D$42)</x:f>
        <x:v>0</x:v>
      </x:c>
    </x:row>
    <x:row r="8">
      <x:c r="A8" s="3" t="inlineStr">
        <x:is>
          <x:t xml:space="preserve">合計有效遲到(小時)</x:t>
        </x:is>
      </x:c>
      <x:c r="B8" s="10">
        <x:f>$B$7/60</x:f>
        <x:v>0</x:v>
      </x:c>
    </x:row>
    <x:row r="9">
      <x:c r="A9" s="3" t="inlineStr">
        <x:is>
          <x:t xml:space="preserve">實際上班時數(小時)</x:t>
        </x:is>
      </x:c>
      <x:c r="B9" s="10">
        <x:f>MAX(0,$B$4-$B$8)</x:f>
        <x:v>184</x:v>
      </x:c>
    </x:row>
    <x:row r="10">
      <x:c r="A10" s="3" t="inlineStr">
        <x:is>
          <x:t xml:space="preserve">本月全勤實領(元)</x:t>
        </x:is>
      </x:c>
      <x:c r="B10" s="5">
        <x:f>ROUND($B$3*($B$9/$B$4),2)</x:f>
        <x:v>1000</x:v>
      </x:c>
    </x:row>
    <x:row r="11" ht="20" customHeight="1">
      <x:c r="A11" s="11" t="inlineStr">
        <x:is>
          <x:t xml:space="preserve">日</x:t>
        </x:is>
      </x:c>
      <x:c r="B11" s="11" t="inlineStr">
        <x:is>
          <x:t xml:space="preserve">上班打卡</x:t>
        </x:is>
      </x:c>
      <x:c r="C11" s="11" t="inlineStr">
        <x:is>
          <x:t xml:space="preserve">原始遲到(分)</x:t>
        </x:is>
      </x:c>
      <x:c r="D11" s="11" t="inlineStr">
        <x:is>
          <x:t xml:space="preserve">計入遲到(分)</x:t>
        </x:is>
      </x:c>
      <x:c r="E11" s="11" t="inlineStr">
        <x:is>
          <x:t xml:space="preserve">計入遲到(時)</x:t>
        </x:is>
      </x:c>
      <x:c r="F11" s="11" t="inlineStr">
        <x:is>
          <x:t xml:space="preserve">備註</x:t>
        </x:is>
      </x:c>
    </x:row>
    <x:row r="12" ht="18" customHeight="1">
      <x:c r="A12" s="12" t="n">
        <x:v>1</x:v>
      </x:c>
      <x:c r="B12" s="13" t="n"/>
      <x:c r="C12" s="14">
        <x:f>IF($B12="","",MAX(0,INT((($B12-$B$5)*1440)+0.000001)))</x:f>
      </x:c>
      <x:c r="D12" s="14">
        <x:f>IF($B12="","",MAX(0,$C12-$B$6))</x:f>
      </x:c>
      <x:c r="E12" s="15">
        <x:f>IF($B12="","",$D12/60)</x:f>
      </x:c>
      <x:c r="F12" s="16" t="inlineStr">
        <x:is>
          <x:t xml:space="preserve"/>
        </x:is>
      </x:c>
    </x:row>
    <x:row r="13" ht="18" customHeight="1">
      <x:c r="A13" s="12" t="n">
        <x:v>2</x:v>
      </x:c>
      <x:c r="B13" s="13" t="n"/>
      <x:c r="C13" s="14">
        <x:f>IF($B13="","",MAX(0,INT((($B13-$B$5)*1440)+0.000001)))</x:f>
      </x:c>
      <x:c r="D13" s="14">
        <x:f>IF($B13="","",MAX(0,$C13-$B$6))</x:f>
      </x:c>
      <x:c r="E13" s="15">
        <x:f>IF($B13="","",$D13/60)</x:f>
      </x:c>
      <x:c r="F13" s="16" t="inlineStr">
        <x:is>
          <x:t xml:space="preserve"/>
        </x:is>
      </x:c>
    </x:row>
    <x:row r="14" ht="18" customHeight="1">
      <x:c r="A14" s="12" t="n">
        <x:v>3</x:v>
      </x:c>
      <x:c r="B14" s="13" t="n"/>
      <x:c r="C14" s="14">
        <x:f>IF($B14="","",MAX(0,INT((($B14-$B$5)*1440)+0.000001)))</x:f>
      </x:c>
      <x:c r="D14" s="14">
        <x:f>IF($B14="","",MAX(0,$C14-$B$6))</x:f>
      </x:c>
      <x:c r="E14" s="15">
        <x:f>IF($B14="","",$D14/60)</x:f>
      </x:c>
      <x:c r="F14" s="16" t="inlineStr">
        <x:is>
          <x:t xml:space="preserve"/>
        </x:is>
      </x:c>
    </x:row>
    <x:row r="15" ht="18" customHeight="1">
      <x:c r="A15" s="12" t="n">
        <x:v>4</x:v>
      </x:c>
      <x:c r="B15" s="13" t="n"/>
      <x:c r="C15" s="14">
        <x:f>IF($B15="","",MAX(0,INT((($B15-$B$5)*1440)+0.000001)))</x:f>
      </x:c>
      <x:c r="D15" s="14">
        <x:f>IF($B15="","",MAX(0,$C15-$B$6))</x:f>
      </x:c>
      <x:c r="E15" s="15">
        <x:f>IF($B15="","",$D15/60)</x:f>
      </x:c>
      <x:c r="F15" s="16" t="inlineStr">
        <x:is>
          <x:t xml:space="preserve"/>
        </x:is>
      </x:c>
    </x:row>
    <x:row r="16" ht="18" customHeight="1">
      <x:c r="A16" s="12" t="n">
        <x:v>5</x:v>
      </x:c>
      <x:c r="B16" s="13" t="n"/>
      <x:c r="C16" s="14">
        <x:f>IF($B16="","",MAX(0,INT((($B16-$B$5)*1440)+0.000001)))</x:f>
      </x:c>
      <x:c r="D16" s="14">
        <x:f>IF($B16="","",MAX(0,$C16-$B$6))</x:f>
      </x:c>
      <x:c r="E16" s="15">
        <x:f>IF($B16="","",$D16/60)</x:f>
      </x:c>
      <x:c r="F16" s="16" t="inlineStr">
        <x:is>
          <x:t xml:space="preserve"/>
        </x:is>
      </x:c>
    </x:row>
    <x:row r="17" ht="18" customHeight="1">
      <x:c r="A17" s="12" t="n">
        <x:v>6</x:v>
      </x:c>
      <x:c r="B17" s="13" t="n"/>
      <x:c r="C17" s="14">
        <x:f>IF($B17="","",MAX(0,INT((($B17-$B$5)*1440)+0.000001)))</x:f>
      </x:c>
      <x:c r="D17" s="14">
        <x:f>IF($B17="","",MAX(0,$C17-$B$6))</x:f>
      </x:c>
      <x:c r="E17" s="15">
        <x:f>IF($B17="","",$D17/60)</x:f>
      </x:c>
      <x:c r="F17" s="16" t="inlineStr">
        <x:is>
          <x:t xml:space="preserve"/>
        </x:is>
      </x:c>
    </x:row>
    <x:row r="18" ht="18" customHeight="1">
      <x:c r="A18" s="12" t="n">
        <x:v>7</x:v>
      </x:c>
      <x:c r="B18" s="13" t="n"/>
      <x:c r="C18" s="14">
        <x:f>IF($B18="","",MAX(0,INT((($B18-$B$5)*1440)+0.000001)))</x:f>
      </x:c>
      <x:c r="D18" s="14">
        <x:f>IF($B18="","",MAX(0,$C18-$B$6))</x:f>
      </x:c>
      <x:c r="E18" s="15">
        <x:f>IF($B18="","",$D18/60)</x:f>
      </x:c>
      <x:c r="F18" s="16" t="inlineStr">
        <x:is>
          <x:t xml:space="preserve"/>
        </x:is>
      </x:c>
    </x:row>
    <x:row r="19" ht="18" customHeight="1">
      <x:c r="A19" s="12" t="n">
        <x:v>8</x:v>
      </x:c>
      <x:c r="B19" s="13" t="n"/>
      <x:c r="C19" s="14">
        <x:f>IF($B19="","",MAX(0,INT((($B19-$B$5)*1440)+0.000001)))</x:f>
      </x:c>
      <x:c r="D19" s="14">
        <x:f>IF($B19="","",MAX(0,$C19-$B$6))</x:f>
      </x:c>
      <x:c r="E19" s="15">
        <x:f>IF($B19="","",$D19/60)</x:f>
      </x:c>
      <x:c r="F19" s="16" t="inlineStr">
        <x:is>
          <x:t xml:space="preserve"/>
        </x:is>
      </x:c>
    </x:row>
    <x:row r="20" ht="18" customHeight="1">
      <x:c r="A20" s="12" t="n">
        <x:v>9</x:v>
      </x:c>
      <x:c r="B20" s="13" t="n"/>
      <x:c r="C20" s="14">
        <x:f>IF($B20="","",MAX(0,INT((($B20-$B$5)*1440)+0.000001)))</x:f>
      </x:c>
      <x:c r="D20" s="14">
        <x:f>IF($B20="","",MAX(0,$C20-$B$6))</x:f>
      </x:c>
      <x:c r="E20" s="15">
        <x:f>IF($B20="","",$D20/60)</x:f>
      </x:c>
      <x:c r="F20" s="16" t="inlineStr">
        <x:is>
          <x:t xml:space="preserve"/>
        </x:is>
      </x:c>
    </x:row>
    <x:row r="21" ht="18" customHeight="1">
      <x:c r="A21" s="12" t="n">
        <x:v>10</x:v>
      </x:c>
      <x:c r="B21" s="13" t="n"/>
      <x:c r="C21" s="14">
        <x:f>IF($B21="","",MAX(0,INT((($B21-$B$5)*1440)+0.000001)))</x:f>
      </x:c>
      <x:c r="D21" s="14">
        <x:f>IF($B21="","",MAX(0,$C21-$B$6))</x:f>
      </x:c>
      <x:c r="E21" s="15">
        <x:f>IF($B21="","",$D21/60)</x:f>
      </x:c>
      <x:c r="F21" s="16" t="inlineStr">
        <x:is>
          <x:t xml:space="preserve"/>
        </x:is>
      </x:c>
    </x:row>
    <x:row r="22" ht="18" customHeight="1">
      <x:c r="A22" s="12" t="n">
        <x:v>11</x:v>
      </x:c>
      <x:c r="B22" s="13" t="n"/>
      <x:c r="C22" s="14">
        <x:f>IF($B22="","",MAX(0,INT((($B22-$B$5)*1440)+0.000001)))</x:f>
      </x:c>
      <x:c r="D22" s="14">
        <x:f>IF($B22="","",MAX(0,$C22-$B$6))</x:f>
      </x:c>
      <x:c r="E22" s="15">
        <x:f>IF($B22="","",$D22/60)</x:f>
      </x:c>
      <x:c r="F22" s="16" t="inlineStr">
        <x:is>
          <x:t xml:space="preserve"/>
        </x:is>
      </x:c>
    </x:row>
    <x:row r="23" ht="18" customHeight="1">
      <x:c r="A23" s="12" t="n">
        <x:v>12</x:v>
      </x:c>
      <x:c r="B23" s="13" t="n"/>
      <x:c r="C23" s="14">
        <x:f>IF($B23="","",MAX(0,INT((($B23-$B$5)*1440)+0.000001)))</x:f>
      </x:c>
      <x:c r="D23" s="14">
        <x:f>IF($B23="","",MAX(0,$C23-$B$6))</x:f>
      </x:c>
      <x:c r="E23" s="15">
        <x:f>IF($B23="","",$D23/60)</x:f>
      </x:c>
      <x:c r="F23" s="16" t="inlineStr">
        <x:is>
          <x:t xml:space="preserve"/>
        </x:is>
      </x:c>
    </x:row>
    <x:row r="24" ht="18" customHeight="1">
      <x:c r="A24" s="12" t="n">
        <x:v>13</x:v>
      </x:c>
      <x:c r="B24" s="13" t="n"/>
      <x:c r="C24" s="14">
        <x:f>IF($B24="","",MAX(0,INT((($B24-$B$5)*1440)+0.000001)))</x:f>
      </x:c>
      <x:c r="D24" s="14">
        <x:f>IF($B24="","",MAX(0,$C24-$B$6))</x:f>
      </x:c>
      <x:c r="E24" s="15">
        <x:f>IF($B24="","",$D24/60)</x:f>
      </x:c>
      <x:c r="F24" s="16" t="inlineStr">
        <x:is>
          <x:t xml:space="preserve"/>
        </x:is>
      </x:c>
    </x:row>
    <x:row r="25" ht="18" customHeight="1">
      <x:c r="A25" s="12" t="n">
        <x:v>14</x:v>
      </x:c>
      <x:c r="B25" s="13" t="n"/>
      <x:c r="C25" s="14">
        <x:f>IF($B25="","",MAX(0,INT((($B25-$B$5)*1440)+0.000001)))</x:f>
      </x:c>
      <x:c r="D25" s="14">
        <x:f>IF($B25="","",MAX(0,$C25-$B$6))</x:f>
      </x:c>
      <x:c r="E25" s="15">
        <x:f>IF($B25="","",$D25/60)</x:f>
      </x:c>
      <x:c r="F25" s="16" t="inlineStr">
        <x:is>
          <x:t xml:space="preserve"/>
        </x:is>
      </x:c>
    </x:row>
    <x:row r="26" ht="18" customHeight="1">
      <x:c r="A26" s="12" t="n">
        <x:v>15</x:v>
      </x:c>
      <x:c r="B26" s="13" t="n"/>
      <x:c r="C26" s="14">
        <x:f>IF($B26="","",MAX(0,INT((($B26-$B$5)*1440)+0.000001)))</x:f>
      </x:c>
      <x:c r="D26" s="14">
        <x:f>IF($B26="","",MAX(0,$C26-$B$6))</x:f>
      </x:c>
      <x:c r="E26" s="15">
        <x:f>IF($B26="","",$D26/60)</x:f>
      </x:c>
      <x:c r="F26" s="16" t="inlineStr">
        <x:is>
          <x:t xml:space="preserve"/>
        </x:is>
      </x:c>
    </x:row>
    <x:row r="27" ht="18" customHeight="1">
      <x:c r="A27" s="12" t="n">
        <x:v>16</x:v>
      </x:c>
      <x:c r="B27" s="13" t="n"/>
      <x:c r="C27" s="14">
        <x:f>IF($B27="","",MAX(0,INT((($B27-$B$5)*1440)+0.000001)))</x:f>
      </x:c>
      <x:c r="D27" s="14">
        <x:f>IF($B27="","",MAX(0,$C27-$B$6))</x:f>
      </x:c>
      <x:c r="E27" s="15">
        <x:f>IF($B27="","",$D27/60)</x:f>
      </x:c>
      <x:c r="F27" s="16" t="inlineStr">
        <x:is>
          <x:t xml:space="preserve"/>
        </x:is>
      </x:c>
    </x:row>
    <x:row r="28" ht="18" customHeight="1">
      <x:c r="A28" s="12" t="n">
        <x:v>17</x:v>
      </x:c>
      <x:c r="B28" s="13" t="n"/>
      <x:c r="C28" s="14">
        <x:f>IF($B28="","",MAX(0,INT((($B28-$B$5)*1440)+0.000001)))</x:f>
      </x:c>
      <x:c r="D28" s="14">
        <x:f>IF($B28="","",MAX(0,$C28-$B$6))</x:f>
      </x:c>
      <x:c r="E28" s="15">
        <x:f>IF($B28="","",$D28/60)</x:f>
      </x:c>
      <x:c r="F28" s="16" t="inlineStr">
        <x:is>
          <x:t xml:space="preserve"/>
        </x:is>
      </x:c>
    </x:row>
    <x:row r="29" ht="18" customHeight="1">
      <x:c r="A29" s="12" t="n">
        <x:v>18</x:v>
      </x:c>
      <x:c r="B29" s="13" t="n"/>
      <x:c r="C29" s="14">
        <x:f>IF($B29="","",MAX(0,INT((($B29-$B$5)*1440)+0.000001)))</x:f>
      </x:c>
      <x:c r="D29" s="14">
        <x:f>IF($B29="","",MAX(0,$C29-$B$6))</x:f>
      </x:c>
      <x:c r="E29" s="15">
        <x:f>IF($B29="","",$D29/60)</x:f>
      </x:c>
      <x:c r="F29" s="16" t="inlineStr">
        <x:is>
          <x:t xml:space="preserve"/>
        </x:is>
      </x:c>
    </x:row>
    <x:row r="30" ht="18" customHeight="1">
      <x:c r="A30" s="12" t="n">
        <x:v>19</x:v>
      </x:c>
      <x:c r="B30" s="13" t="n"/>
      <x:c r="C30" s="14">
        <x:f>IF($B30="","",MAX(0,INT((($B30-$B$5)*1440)+0.000001)))</x:f>
      </x:c>
      <x:c r="D30" s="14">
        <x:f>IF($B30="","",MAX(0,$C30-$B$6))</x:f>
      </x:c>
      <x:c r="E30" s="15">
        <x:f>IF($B30="","",$D30/60)</x:f>
      </x:c>
      <x:c r="F30" s="16" t="inlineStr">
        <x:is>
          <x:t xml:space="preserve"/>
        </x:is>
      </x:c>
    </x:row>
    <x:row r="31" ht="18" customHeight="1">
      <x:c r="A31" s="12" t="n">
        <x:v>20</x:v>
      </x:c>
      <x:c r="B31" s="13" t="n"/>
      <x:c r="C31" s="14">
        <x:f>IF($B31="","",MAX(0,INT((($B31-$B$5)*1440)+0.000001)))</x:f>
      </x:c>
      <x:c r="D31" s="14">
        <x:f>IF($B31="","",MAX(0,$C31-$B$6))</x:f>
      </x:c>
      <x:c r="E31" s="15">
        <x:f>IF($B31="","",$D31/60)</x:f>
      </x:c>
      <x:c r="F31" s="16" t="inlineStr">
        <x:is>
          <x:t xml:space="preserve"/>
        </x:is>
      </x:c>
    </x:row>
    <x:row r="32" ht="18" customHeight="1">
      <x:c r="A32" s="12" t="n">
        <x:v>21</x:v>
      </x:c>
      <x:c r="B32" s="13" t="n"/>
      <x:c r="C32" s="14">
        <x:f>IF($B32="","",MAX(0,INT((($B32-$B$5)*1440)+0.000001)))</x:f>
      </x:c>
      <x:c r="D32" s="14">
        <x:f>IF($B32="","",MAX(0,$C32-$B$6))</x:f>
      </x:c>
      <x:c r="E32" s="15">
        <x:f>IF($B32="","",$D32/60)</x:f>
      </x:c>
      <x:c r="F32" s="16" t="inlineStr">
        <x:is>
          <x:t xml:space="preserve"/>
        </x:is>
      </x:c>
    </x:row>
    <x:row r="33" ht="18" customHeight="1">
      <x:c r="A33" s="12" t="n">
        <x:v>22</x:v>
      </x:c>
      <x:c r="B33" s="13" t="n"/>
      <x:c r="C33" s="14">
        <x:f>IF($B33="","",MAX(0,INT((($B33-$B$5)*1440)+0.000001)))</x:f>
      </x:c>
      <x:c r="D33" s="14">
        <x:f>IF($B33="","",MAX(0,$C33-$B$6))</x:f>
      </x:c>
      <x:c r="E33" s="15">
        <x:f>IF($B33="","",$D33/60)</x:f>
      </x:c>
      <x:c r="F33" s="16" t="inlineStr">
        <x:is>
          <x:t xml:space="preserve"/>
        </x:is>
      </x:c>
    </x:row>
    <x:row r="34" ht="18" customHeight="1">
      <x:c r="A34" s="12" t="n">
        <x:v>23</x:v>
      </x:c>
      <x:c r="B34" s="13" t="n"/>
      <x:c r="C34" s="14">
        <x:f>IF($B34="","",MAX(0,INT((($B34-$B$5)*1440)+0.000001)))</x:f>
      </x:c>
      <x:c r="D34" s="14">
        <x:f>IF($B34="","",MAX(0,$C34-$B$6))</x:f>
      </x:c>
      <x:c r="E34" s="15">
        <x:f>IF($B34="","",$D34/60)</x:f>
      </x:c>
      <x:c r="F34" s="16" t="inlineStr">
        <x:is>
          <x:t xml:space="preserve"/>
        </x:is>
      </x:c>
    </x:row>
    <x:row r="35" ht="18" customHeight="1">
      <x:c r="A35" s="12" t="n">
        <x:v>24</x:v>
      </x:c>
      <x:c r="B35" s="13" t="n"/>
      <x:c r="C35" s="14">
        <x:f>IF($B35="","",MAX(0,INT((($B35-$B$5)*1440)+0.000001)))</x:f>
      </x:c>
      <x:c r="D35" s="14">
        <x:f>IF($B35="","",MAX(0,$C35-$B$6))</x:f>
      </x:c>
      <x:c r="E35" s="15">
        <x:f>IF($B35="","",$D35/60)</x:f>
      </x:c>
      <x:c r="F35" s="16" t="inlineStr">
        <x:is>
          <x:t xml:space="preserve"/>
        </x:is>
      </x:c>
    </x:row>
    <x:row r="36" ht="18" customHeight="1">
      <x:c r="A36" s="12" t="n">
        <x:v>25</x:v>
      </x:c>
      <x:c r="B36" s="13" t="n"/>
      <x:c r="C36" s="14">
        <x:f>IF($B36="","",MAX(0,INT((($B36-$B$5)*1440)+0.000001)))</x:f>
      </x:c>
      <x:c r="D36" s="14">
        <x:f>IF($B36="","",MAX(0,$C36-$B$6))</x:f>
      </x:c>
      <x:c r="E36" s="15">
        <x:f>IF($B36="","",$D36/60)</x:f>
      </x:c>
      <x:c r="F36" s="16" t="inlineStr">
        <x:is>
          <x:t xml:space="preserve"/>
        </x:is>
      </x:c>
    </x:row>
    <x:row r="37" ht="18" customHeight="1">
      <x:c r="A37" s="12" t="n">
        <x:v>26</x:v>
      </x:c>
      <x:c r="B37" s="13" t="n"/>
      <x:c r="C37" s="14">
        <x:f>IF($B37="","",MAX(0,INT((($B37-$B$5)*1440)+0.000001)))</x:f>
      </x:c>
      <x:c r="D37" s="14">
        <x:f>IF($B37="","",MAX(0,$C37-$B$6))</x:f>
      </x:c>
      <x:c r="E37" s="15">
        <x:f>IF($B37="","",$D37/60)</x:f>
      </x:c>
      <x:c r="F37" s="16" t="inlineStr">
        <x:is>
          <x:t xml:space="preserve"/>
        </x:is>
      </x:c>
    </x:row>
    <x:row r="38" ht="18" customHeight="1">
      <x:c r="A38" s="12" t="n">
        <x:v>27</x:v>
      </x:c>
      <x:c r="B38" s="13" t="n"/>
      <x:c r="C38" s="14">
        <x:f>IF($B38="","",MAX(0,INT((($B38-$B$5)*1440)+0.000001)))</x:f>
      </x:c>
      <x:c r="D38" s="14">
        <x:f>IF($B38="","",MAX(0,$C38-$B$6))</x:f>
      </x:c>
      <x:c r="E38" s="15">
        <x:f>IF($B38="","",$D38/60)</x:f>
      </x:c>
      <x:c r="F38" s="16" t="inlineStr">
        <x:is>
          <x:t xml:space="preserve"/>
        </x:is>
      </x:c>
    </x:row>
    <x:row r="39" ht="18" customHeight="1">
      <x:c r="A39" s="12" t="n">
        <x:v>28</x:v>
      </x:c>
      <x:c r="B39" s="13" t="n"/>
      <x:c r="C39" s="14">
        <x:f>IF($B39="","",MAX(0,INT((($B39-$B$5)*1440)+0.000001)))</x:f>
      </x:c>
      <x:c r="D39" s="14">
        <x:f>IF($B39="","",MAX(0,$C39-$B$6))</x:f>
      </x:c>
      <x:c r="E39" s="15">
        <x:f>IF($B39="","",$D39/60)</x:f>
      </x:c>
      <x:c r="F39" s="16" t="inlineStr">
        <x:is>
          <x:t xml:space="preserve"/>
        </x:is>
      </x:c>
    </x:row>
    <x:row r="40" ht="18" customHeight="1">
      <x:c r="A40" s="12" t="n">
        <x:v>29</x:v>
      </x:c>
      <x:c r="B40" s="13" t="n"/>
      <x:c r="C40" s="14">
        <x:f>IF($B40="","",MAX(0,INT((($B40-$B$5)*1440)+0.000001)))</x:f>
      </x:c>
      <x:c r="D40" s="14">
        <x:f>IF($B40="","",MAX(0,$C40-$B$6))</x:f>
      </x:c>
      <x:c r="E40" s="15">
        <x:f>IF($B40="","",$D40/60)</x:f>
      </x:c>
      <x:c r="F40" s="16" t="inlineStr">
        <x:is>
          <x:t xml:space="preserve"/>
        </x:is>
      </x:c>
    </x:row>
    <x:row r="41" ht="18" customHeight="1">
      <x:c r="A41" s="12" t="n">
        <x:v>30</x:v>
      </x:c>
      <x:c r="B41" s="13" t="n"/>
      <x:c r="C41" s="14">
        <x:f>IF($B41="","",MAX(0,INT((($B41-$B$5)*1440)+0.000001)))</x:f>
      </x:c>
      <x:c r="D41" s="14">
        <x:f>IF($B41="","",MAX(0,$C41-$B$6))</x:f>
      </x:c>
      <x:c r="E41" s="15">
        <x:f>IF($B41="","",$D41/60)</x:f>
      </x:c>
      <x:c r="F41" s="16" t="inlineStr">
        <x:is>
          <x:t xml:space="preserve"/>
        </x:is>
      </x:c>
    </x:row>
    <x:row r="42" ht="18" customHeight="1">
      <x:c r="A42" s="12" t="n">
        <x:v>31</x:v>
      </x:c>
      <x:c r="B42" s="13" t="n"/>
      <x:c r="C42" s="14">
        <x:f>IF($B42="","",MAX(0,INT((($B42-$B$5)*1440)+0.000001)))</x:f>
      </x:c>
      <x:c r="D42" s="14">
        <x:f>IF($B42="","",MAX(0,$C42-$B$6))</x:f>
      </x:c>
      <x:c r="E42" s="15">
        <x:f>IF($B42="","",$D42/60)</x:f>
      </x:c>
      <x:c r="F42" s="16" t="inlineStr">
        <x:is>
          <x:t xml:space="preserve"/>
        </x:is>
      </x:c>
    </x:row>
  </x:sheetData>
  <x:mergeCells>
    <x:mergeCell ref="A2:F2"/>
    <x:mergeCell ref="A1:F1"/>
  </x:mergeCells>
  <x:pageMargins left="0.7" right="0.7" top="0.75" bottom="0.75" header="0.3" footer="0.3"/>
</x:worksheet>
</file>